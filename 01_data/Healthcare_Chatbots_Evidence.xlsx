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ns0:Relationship Id="rId3" Type="http://schemas.openxmlformats.org/officeDocument/2006/relationships/extended-properties" Target="docProps/app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re coding" sheetId="2" r:id="rId2"/>
    <sheet name="Report roster" sheetId="3" r:id="rId3"/>
    <sheet name="Extraction" sheetId="4" r:id="rId4"/>
    <sheet name="Source checks" sheetId="5" r:id="rId5"/>
    <sheet name="Verified endpoints" sheetId="6" r:id="rId6"/>
    <sheet name="Claim dispositions" sheetId="7" r:id="rId7"/>
    <sheet name="Worked cases" sheetId="8" r:id="rId8"/>
    <sheet name="Framework comparison" sheetId="9" r:id="rId9"/>
    <sheet name="Contemporary reports" sheetId="10" r:id="rId10"/>
    <sheet name="Theory examples" sheetId="11" r:id="rId11"/>
    <sheet name="References" sheetId="12" r:id="rId12"/>
    <sheet name="Sensitivity" sheetId="13" r:id="rId13"/>
    <sheet name="Leave one out" sheetId="14" r:id="rId14"/>
    <sheet name="Outcome co-occurrence" sheetId="15" r:id="rId15"/>
  </sheets>
  <calcPr calcId="191029" fullCalcOnLoad="1" forceFullCalc="1"/>
</workbook>
</file>

<file path=xl/styles.xml><?xml version="1.0" encoding="utf-8"?>
<styleSheet xmlns="http://schemas.openxmlformats.org/spreadsheetml/2006/main">
  <fonts count="4">
    <font>
      <sz val="10"/>
      <name val="Calibri"/>
      <color rgb="FF000000"/>
    </font>
    <font>
      <sz val="14"/>
      <name val="Calibri"/>
      <color rgb="FFFFFFFF"/>
      <b/>
    </font>
    <font>
      <sz val="10"/>
      <name val="Calibri"/>
      <color rgb="FFFFFFFF"/>
      <b/>
    </font>
    <font>
      <sz val="10"/>
      <name val="Calibri"/>
      <color rgb="FF5B6573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 applyAlignment="1" applyNumberFormat="1">
      <alignment vertical="top" wrapText="1"/>
    </xf>
    <xf numFmtId="0" fontId="1" fillId="2" borderId="0" xfId="0" applyAlignment="1" applyNumberFormat="1">
      <alignment vertical="top" wrapText="1"/>
    </xf>
    <xf numFmtId="0" fontId="3" fillId="0" borderId="0" xfId="0" applyAlignment="1" applyNumberFormat="1">
      <alignment vertical="top" wrapText="1"/>
    </xf>
    <xf numFmtId="0" fontId="2" fillId="2" borderId="1" xfId="0" applyAlignment="1" applyNumberFormat="1">
      <alignment vertical="top" wrapText="1"/>
    </xf>
    <xf numFmtId="0" fontId="0" fillId="0" borderId="1" xfId="0" applyAlignment="1" applyNumberFormat="1">
      <alignment vertical="top" wrapText="1"/>
    </xf>
    <xf numFmtId="0" fontId="0" fillId="0" borderId="1" xfId="0" applyAlignment="1" applyNumberFormat="1">
      <alignment vertical="top" wrapText="1"/>
    </xf>
    <xf numFmtId="10" fontId="0" fillId="0" borderId="1" xfId="0" applyAlignment="1" applyNumberFormat="1">
      <alignment vertical="top" wrapText="1"/>
    </xf>
    <xf numFmtId="0" fontId="0" fillId="3" borderId="0" xfId="0" applyAlignment="1" applyNumberFormat="1">
      <alignment vertical="top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ns0:Relationship Id="rId6" Type="http://schemas.openxmlformats.org/officeDocument/2006/relationships/worksheet" Target="worksheets/sheet6.xml" /><ns0:Relationship Id="rId7" Type="http://schemas.openxmlformats.org/officeDocument/2006/relationships/worksheet" Target="worksheets/sheet7.xml" /><ns0:Relationship Id="rId8" Type="http://schemas.openxmlformats.org/officeDocument/2006/relationships/worksheet" Target="worksheets/sheet8.xml" /><ns0:Relationship Id="rId9" Type="http://schemas.openxmlformats.org/officeDocument/2006/relationships/worksheet" Target="worksheets/sheet9.xml" /><ns0:Relationship Id="rId10" Type="http://schemas.openxmlformats.org/officeDocument/2006/relationships/worksheet" Target="worksheets/sheet10.xml" /><ns0:Relationship Id="rId11" Type="http://schemas.openxmlformats.org/officeDocument/2006/relationships/worksheet" Target="worksheets/sheet11.xml" /><ns0:Relationship Id="rId12" Type="http://schemas.openxmlformats.org/officeDocument/2006/relationships/worksheet" Target="worksheets/sheet12.xml" /><ns0:Relationship Id="rId13" Type="http://schemas.openxmlformats.org/officeDocument/2006/relationships/worksheet" Target="worksheets/sheet13.xml" /><ns0:Relationship Id="rId14" Type="http://schemas.openxmlformats.org/officeDocument/2006/relationships/worksheet" Target="worksheets/sheet14.xml" /><ns0:Relationship Id="rId15" Type="http://schemas.openxmlformats.org/officeDocument/2006/relationships/worksheet" Target="worksheets/sheet15.xml" /><ns0:Relationship Id="rId16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sheetViews>
    <sheetView workbookViewId="0">
      <pane xSplit="0" ySplit="5" topLeftCell="A6" activePane="bottomLeft" state="frozen"/>
    </sheetView>
  </sheetViews>
  <sheetFormatPr defaultRowHeight="18"/>
  <cols>
    <col min="1" max="1" width="36" customWidth="1"/>
    <col min="2" max="2" width="11" customWidth="1"/>
    <col min="3" max="3" width="28" customWidth="1"/>
    <col min="4" max="4" width="3" customWidth="1"/>
    <col min="5" max="5" width="38" customWidth="1"/>
    <col min="6" max="6" width="11" customWidth="1"/>
    <col min="7" max="7" width="14" customWidth="1"/>
  </cols>
  <sheetData>
    <row r="1" ht="32" customHeight="1">
      <c r="A1" s="1" t="inlineStr">
        <is>
          <t xml:space="preserve">Healthcare chatbot evidence — analytical summary</t>
        </is>
      </c>
    </row>
    <row r="2" ht="26" customHeight="1">
      <c r="A2" s="2" t="inlineStr">
        <is>
          <t xml:space="preserve">From User Experience to Organizational Value: A Critical Integrative Review of Intelligent Chatbots in Healthcare Services</t>
        </is>
      </c>
    </row>
    <row r="5" ht="32" customHeight="1">
      <c r="A5" s="3" t="inlineStr">
        <is>
          <t xml:space="preserve">Historical analytical set</t>
        </is>
      </c>
      <c r="B5" s="3" t="inlineStr">
        <is>
          <t xml:space="preserve">Count</t>
        </is>
      </c>
      <c r="C5" s="3" t="inlineStr">
        <is>
          <t xml:space="preserve">Share</t>
        </is>
      </c>
      <c r="E5" s="3" t="inlineStr">
        <is>
          <t xml:space="preserve">Claim-level disposition</t>
        </is>
      </c>
      <c r="F5" s="3" t="inlineStr">
        <is>
          <t xml:space="preserve">Count</t>
        </is>
      </c>
      <c r="G5" s="3" t="inlineStr">
        <is>
          <t xml:space="preserve">Share</t>
        </is>
      </c>
    </row>
    <row r="6" ht="32" customHeight="1">
      <c r="A6" s="4" t="inlineStr">
        <is>
          <t xml:space="preserve">Healthcare-specific reports</t>
        </is>
      </c>
      <c r="B6" s="5">
        <f>COUNTA('Core coding'!A5:A26)</f>
        <v>22</v>
      </c>
      <c r="C6" s="6">
        <f>B6/$B$6</f>
        <v>1.0</v>
      </c>
      <c r="E6" s="4" t="inlineStr">
        <is>
          <t xml:space="preserve">Supported within tested conditions</t>
        </is>
      </c>
      <c r="F6" s="5">
        <f>COUNTIF('Claim dispositions'!$E$5:$E$22,E6)</f>
        <v>2</v>
      </c>
      <c r="G6" s="6">
        <f>F6/$F$10</f>
        <v>0.1111111111111111</v>
      </c>
    </row>
    <row r="7" ht="32" customHeight="1">
      <c r="A7" s="4" t="inlineStr">
        <is>
          <t xml:space="preserve">User measures</t>
        </is>
      </c>
      <c r="B7" s="5">
        <f>SUM('Core coding'!L5:L26)</f>
        <v>22</v>
      </c>
      <c r="C7" s="6">
        <f>B7/$B$6</f>
        <v>1.0</v>
      </c>
      <c r="E7" s="4" t="inlineStr">
        <is>
          <t xml:space="preserve">Supported with qualifications</t>
        </is>
      </c>
      <c r="F7" s="5">
        <f>COUNTIF('Claim dispositions'!$E$5:$E$22,E7)</f>
        <v>7</v>
      </c>
      <c r="G7" s="6">
        <f>F7/$F$10</f>
        <v>0.3888888888888889</v>
      </c>
    </row>
    <row r="8" ht="32" customHeight="1">
      <c r="A8" s="4" t="inlineStr">
        <is>
          <t xml:space="preserve">Clinical measures</t>
        </is>
      </c>
      <c r="B8" s="5">
        <f>SUM('Core coding'!M5:M26)</f>
        <v>11</v>
      </c>
      <c r="C8" s="6">
        <f>B8/$B$6</f>
        <v>0.5</v>
      </c>
      <c r="E8" s="4" t="inlineStr">
        <is>
          <t xml:space="preserve">Not established</t>
        </is>
      </c>
      <c r="F8" s="5">
        <f>COUNTIF('Claim dispositions'!$E$5:$E$22,E8)</f>
        <v>7</v>
      </c>
      <c r="G8" s="6">
        <f>F8/$F$10</f>
        <v>0.3888888888888889</v>
      </c>
    </row>
    <row r="9" ht="32" customHeight="1">
      <c r="A9" s="4" t="inlineStr">
        <is>
          <t xml:space="preserve">Referral-safety proxy</t>
        </is>
      </c>
      <c r="B9" s="5">
        <f>SUM('Core coding'!N5:N26)</f>
        <v>1</v>
      </c>
      <c r="C9" s="6">
        <f>B9/$B$6</f>
        <v>0.045454545454545456</v>
      </c>
      <c r="E9" s="4" t="inlineStr">
        <is>
          <t xml:space="preserve">Not assessed</t>
        </is>
      </c>
      <c r="F9" s="5">
        <f>COUNTIF('Claim dispositions'!$E$5:$E$22,E9)</f>
        <v>2</v>
      </c>
      <c r="G9" s="6">
        <f>F9/$F$10</f>
        <v>0.1111111111111111</v>
      </c>
    </row>
    <row r="10" ht="32" customHeight="1">
      <c r="A10" s="4" t="inlineStr">
        <is>
          <t xml:space="preserve">Health-system operations</t>
        </is>
      </c>
      <c r="B10" s="5">
        <f>SUM('Core coding'!Q5:Q26)</f>
        <v>1</v>
      </c>
      <c r="C10" s="6">
        <f>B10/$B$6</f>
        <v>0.045454545454545456</v>
      </c>
      <c r="E10" s="4" t="inlineStr">
        <is>
          <t xml:space="preserve">Total specified claims</t>
        </is>
      </c>
      <c r="F10" s="5">
        <f>COUNTA('Claim dispositions'!A5:A22)</f>
        <v>18</v>
      </c>
    </row>
    <row r="11" ht="32" customHeight="1">
      <c r="A11" s="4" t="inlineStr">
        <is>
          <t xml:space="preserve">Patient productivity</t>
        </is>
      </c>
      <c r="B11" s="5">
        <f>SUM('Core coding'!R5:R26)</f>
        <v>1</v>
      </c>
      <c r="C11" s="6">
        <f>B11/$B$6</f>
        <v>0.045454545454545456</v>
      </c>
      <c r="E11" s="4" t="inlineStr">
        <is>
          <t xml:space="preserve">Worked cases</t>
        </is>
      </c>
      <c r="F11" s="5">
        <f>COUNTA('Worked cases'!A5:A13)</f>
        <v>9</v>
      </c>
    </row>
    <row r="12" ht="32" customHeight="1">
      <c r="A12" s="4" t="inlineStr">
        <is>
          <t xml:space="preserve">Intervention-comparison family</t>
        </is>
      </c>
      <c r="B12" s="5">
        <f>SUM('Core coding'!K5:K26)</f>
        <v>7</v>
      </c>
      <c r="C12" s="6">
        <f>B12/$B$6</f>
        <v>0.3181818181818182</v>
      </c>
    </row>
    <row r="13" ht="32" customHeight="1">
      <c r="A13" s="4" t="inlineStr">
        <is>
          <t xml:space="preserve">Mental health and well-being</t>
        </is>
      </c>
      <c r="B13" s="5">
        <f>COUNTIF('Core coding'!E5:E26,"Mental health and well-being")</f>
        <v>13</v>
      </c>
      <c r="C13" s="6">
        <f>B13/$B$6</f>
        <v>0.5909090909090909</v>
      </c>
    </row>
    <row r="16" ht="44" customHeight="1">
      <c r="A16" s="3" t="inlineStr">
        <is>
          <t xml:space="preserve">Targeted source checks</t>
        </is>
      </c>
      <c r="B16" s="3" t="inlineStr">
        <is>
          <t xml:space="preserve">Count</t>
        </is>
      </c>
      <c r="C16" s="3" t="inlineStr">
        <is>
          <t xml:space="preserve">Access / scope</t>
        </is>
      </c>
      <c r="E16" s="3" t="inlineStr">
        <is>
          <t xml:space="preserve">Reading guide</t>
        </is>
      </c>
    </row>
    <row r="17" ht="45" customHeight="1">
      <c r="A17" s="4" t="inlineStr">
        <is>
          <t xml:space="preserve">Historical reports</t>
        </is>
      </c>
      <c r="B17" s="5">
        <f>COUNTIF('Source checks'!$A$5:$A$33,"S01")+COUNTIF('Source checks'!$A$5:$A$33,"S02")+COUNTIF('Source checks'!$A$5:$A$33,"S03")+COUNTIF('Source checks'!$A$5:$A$33,"S04")+COUNTIF('Source checks'!$A$5:$A$33,"S05")+COUNTIF('Source checks'!$A$5:$A$33,"S08")+COUNTIF('Source checks'!$A$5:$A$33,"S09")+COUNTIF('Source checks'!$A$5:$A$33,"S10")+COUNTIF('Source checks'!$A$5:$A$33,"S11")+COUNTIF('Source checks'!$A$5:$A$33,"S12")+COUNTIF('Source checks'!$A$5:$A$33,"S13")+COUNTIF('Source checks'!$A$5:$A$33,"S14")+COUNTIF('Source checks'!$A$5:$A$33,"S15")+COUNTIF('Source checks'!$A$5:$A$33,"S16")+COUNTIF('Source checks'!$A$5:$A$33,"S17")+COUNTIF('Source checks'!$A$5:$A$33,"S18")+COUNTIF('Source checks'!$A$5:$A$33,"S19")+COUNTIF('Source checks'!$A$5:$A$33,"S20")+COUNTIF('Source checks'!$A$5:$A$33,"S21")+COUNTIF('Source checks'!$A$5:$A$33,"S22")+COUNTIF('Source checks'!$A$5:$A$33,"S23")+COUNTIF('Source checks'!$A$5:$A$33,"S24")</f>
        <v>22</v>
      </c>
      <c r="C17" s="4" t="inlineStr">
        <is>
          <t xml:space="preserve">Field-specific source checks; not duplicate human appraisal</t>
        </is>
      </c>
      <c r="E17" s="2" t="inlineStr">
        <is>
          <t xml:space="preserve">Use the report and claim sheets to trace measured endpoints, sources, interpretation boundaries, and the next evidence needed. Unknown fields are not zero and observations are not automatically causal effects.</t>
        </is>
      </c>
    </row>
    <row r="18" ht="45" customHeight="1">
      <c r="A18" s="4" t="inlineStr">
        <is>
          <t xml:space="preserve">Contemporary examples</t>
        </is>
      </c>
      <c r="B18" s="5">
        <f>COUNTIF('Source checks'!$A$5:$A$33,"U01")+COUNTIF('Source checks'!$A$5:$A$33,"U02")+COUNTIF('Source checks'!$A$5:$A$33,"U03")+COUNTIF('Source checks'!$A$5:$A$33,"U04")</f>
        <v>4</v>
      </c>
      <c r="C18" s="4" t="inlineStr">
        <is>
          <t xml:space="preserve">Outside historical denominators</t>
        </is>
      </c>
    </row>
    <row r="19" ht="45" customHeight="1">
      <c r="A19" s="4" t="inlineStr">
        <is>
          <t xml:space="preserve">Established frameworks</t>
        </is>
      </c>
      <c r="B19" s="5">
        <f>B20-B17-B18</f>
        <v>3</v>
      </c>
      <c r="C19" s="4" t="inlineStr">
        <is>
          <t xml:space="preserve">Proctor, NASSS, NICE</t>
        </is>
      </c>
    </row>
    <row r="20" ht="45" customHeight="1">
      <c r="A20" s="4" t="inlineStr">
        <is>
          <t xml:space="preserve">All source-check records</t>
        </is>
      </c>
      <c r="B20" s="5">
        <f>COUNTA('Source checks'!A5:A33)</f>
        <v>29</v>
      </c>
      <c r="C20" s="4" t="inlineStr">
        <is>
          <t xml:space="preserve">Different access levels</t>
        </is>
      </c>
    </row>
    <row r="23" ht="30" customHeight="1">
      <c r="A23" s="3" t="inlineStr">
        <is>
          <t xml:space="preserve">Interpretive boundary</t>
        </is>
      </c>
    </row>
    <row r="24" ht="32" customHeight="1">
      <c r="A24" s="7" t="inlineStr">
        <is>
          <t xml:space="preserve">Counts describe a fixed, non-exhaustive report corpus. Source checks are field-specific and were not duplicated by independent human reviewers. Sensitivity labels are not formal risk-of-bias ratings. The proposed worksheet is not independently validated. CSV data and analytical scripts are authoritative; workbook reproduction uses only the Python standard library.</t>
        </is>
      </c>
    </row>
    <row r="29" ht="24" customHeight="1">
      <c r="A29" s="2" t="inlineStr">
        <is>
          <t xml:space="preserve">Reproduce: python 03_code/reproduce.py | Rebuild workbook: python 03_code/build_workbook.py | Tests: python -m unittest discover -s 03_code -p "test_*.py" -v</t>
        </is>
      </c>
    </row>
  </sheetData>
  <mergeCells count="7">
    <mergeCell ref="A1:G1"/>
    <mergeCell ref="A2:G3"/>
    <mergeCell ref="E16:G16"/>
    <mergeCell ref="E17:G20"/>
    <mergeCell ref="A23:G23"/>
    <mergeCell ref="A24:G27"/>
    <mergeCell ref="A29:G30"/>
  </mergeCells>
  <pageMargins left="0.3" right="0.3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sheetFormatPr defaultRowHeight="18"/>
  <cols>
    <col min="1" max="1" width="12" customWidth="1"/>
    <col min="2" max="2" width="12" customWidth="1"/>
    <col min="3" max="3" width="36" customWidth="1"/>
    <col min="4" max="4" width="36" customWidth="1"/>
    <col min="5" max="5" width="36" customWidth="1"/>
    <col min="6" max="6" width="36" customWidth="1"/>
    <col min="7" max="7" width="36" customWidth="1"/>
    <col min="8" max="8" width="36" customWidth="1"/>
    <col min="9" max="9" width="3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36" customWidth="1"/>
    <col min="20" max="20" width="42" customWidth="1"/>
    <col min="21" max="21" width="36" customWidth="1"/>
    <col min="22" max="22" width="16" customWidth="1"/>
    <col min="23" max="23" width="16" customWidth="1"/>
    <col min="24" max="24" width="16" customWidth="1"/>
  </cols>
  <sheetData>
    <row r="1" ht="30" customHeight="1">
      <c r="A1" s="1" t="inlineStr">
        <is>
          <t xml:space="preserve">Core coding</t>
        </is>
      </c>
    </row>
    <row r="2" ht="34" customHeight="1">
      <c r="A2" s="2" t="inlineStr">
        <is>
          <t xml:space="preserve">Source: 01_data/coding_revised_core22.csv. Report-level evidence; source-access limits and analytic roles are retained.</t>
        </is>
      </c>
    </row>
    <row r="4" ht="44" customHeight="1">
      <c r="A4" s="3" t="inlineStr">
        <is>
          <t xml:space="preserve">study_id</t>
        </is>
      </c>
      <c r="B4" s="3" t="inlineStr">
        <is>
          <t xml:space="preserve">year</t>
        </is>
      </c>
      <c r="C4" s="3" t="inlineStr">
        <is>
          <t xml:space="preserve">title</t>
        </is>
      </c>
      <c r="D4" s="3" t="inlineStr">
        <is>
          <t xml:space="preserve">doi</t>
        </is>
      </c>
      <c r="E4" s="3" t="inlineStr">
        <is>
          <t xml:space="preserve">domain</t>
        </is>
      </c>
      <c r="F4" s="3" t="inlineStr">
        <is>
          <t xml:space="preserve">design_family</t>
        </is>
      </c>
      <c r="G4" s="3" t="inlineStr">
        <is>
          <t xml:space="preserve">geographic_context</t>
        </is>
      </c>
      <c r="H4" s="3" t="inlineStr">
        <is>
          <t xml:space="preserve">legacy_confidence</t>
        </is>
      </c>
      <c r="I4" s="3" t="inlineStr">
        <is>
          <t xml:space="preserve">role</t>
        </is>
      </c>
      <c r="J4" s="3" t="inlineStr">
        <is>
          <t xml:space="preserve">core_flag</t>
        </is>
      </c>
      <c r="K4" s="3" t="inlineStr">
        <is>
          <t xml:space="preserve">comparative</t>
        </is>
      </c>
      <c r="L4" s="3" t="inlineStr">
        <is>
          <t xml:space="preserve">user_outcome</t>
        </is>
      </c>
      <c r="M4" s="3" t="inlineStr">
        <is>
          <t xml:space="preserve">clinical_outcome</t>
        </is>
      </c>
      <c r="N4" s="3" t="inlineStr">
        <is>
          <t xml:space="preserve">safety_focused_investigation</t>
        </is>
      </c>
      <c r="O4" s="3" t="inlineStr">
        <is>
          <t xml:space="preserve">response_accuracy_benchmark</t>
        </is>
      </c>
      <c r="P4" s="3" t="inlineStr">
        <is>
          <t xml:space="preserve">referral_intention_proxy</t>
        </is>
      </c>
      <c r="Q4" s="3" t="inlineStr">
        <is>
          <t xml:space="preserve">health_system_operations</t>
        </is>
      </c>
      <c r="R4" s="3" t="inlineStr">
        <is>
          <t xml:space="preserve">patient_productivity</t>
        </is>
      </c>
      <c r="S4" s="3" t="inlineStr">
        <is>
          <t xml:space="preserve">source_url</t>
        </is>
      </c>
      <c r="T4" s="3" t="inlineStr">
        <is>
          <t xml:space="preserve">verification_status</t>
        </is>
      </c>
      <c r="U4" s="3" t="inlineStr">
        <is>
          <t xml:space="preserve">independent_human_review</t>
        </is>
      </c>
      <c r="V4" s="3" t="inlineStr">
        <is>
          <t xml:space="preserve">legacy_service_flag</t>
        </is>
      </c>
      <c r="W4" s="3" t="inlineStr">
        <is>
          <t xml:space="preserve">legacy_safety_flag</t>
        </is>
      </c>
      <c r="X4" s="3" t="inlineStr">
        <is>
          <t xml:space="preserve">legacy_org_flag</t>
        </is>
      </c>
    </row>
    <row r="5" ht="60" customHeight="1">
      <c r="A5" s="4" t="inlineStr">
        <is>
          <t xml:space="preserve">S01</t>
        </is>
      </c>
      <c r="B5" s="5">
        <v>2019</v>
      </c>
      <c r="C5" s="4" t="inlineStr">
        <is>
          <t xml:space="preserve">Physicians’ perceptions of chatbots in health care: cross-sectional web-based survey</t>
        </is>
      </c>
      <c r="D5" s="4" t="inlineStr">
        <is>
          <t xml:space="preserve">10.2196/12887</t>
        </is>
      </c>
      <c r="E5" s="4" t="inlineStr">
        <is>
          <t xml:space="preserve">General healthcare adoption/information</t>
        </is>
      </c>
      <c r="F5" s="4" t="inlineStr">
        <is>
          <t xml:space="preserve">Survey/observational</t>
        </is>
      </c>
      <c r="G5" s="4" t="inlineStr">
        <is>
          <t xml:space="preserve">United States</t>
        </is>
      </c>
      <c r="H5" s="4" t="inlineStr">
        <is>
          <t xml:space="preserve">Moderate</t>
        </is>
      </c>
      <c r="I5" s="4" t="inlineStr">
        <is>
          <t xml:space="preserve">bounded_healthcare_sample</t>
        </is>
      </c>
      <c r="J5" s="5">
        <v>1</v>
      </c>
      <c r="K5" s="5">
        <v>0</v>
      </c>
      <c r="L5" s="5">
        <v>1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4" t="inlineStr">
        <is>
          <t xml:space="preserve">https://doi.org/10.2196/12887</t>
        </is>
      </c>
      <c r="T5" s="4" t="inlineStr">
        <is>
          <t xml:space="preserve">Targeted current primary-source check; see source_verification_v2.csv for exact fields and access level. No independent human review.</t>
        </is>
      </c>
      <c r="U5" s="4" t="inlineStr">
        <is>
          <t xml:space="preserve">Not documented</t>
        </is>
      </c>
      <c r="V5" s="5">
        <v>0</v>
      </c>
      <c r="W5" s="5">
        <v>0</v>
      </c>
      <c r="X5" s="5">
        <v>0</v>
      </c>
    </row>
    <row r="6" ht="60" customHeight="1">
      <c r="A6" s="4" t="inlineStr">
        <is>
          <t xml:space="preserve">S02</t>
        </is>
      </c>
      <c r="B6" s="5">
        <v>2019</v>
      </c>
      <c r="C6" s="4" t="inlineStr">
        <is>
          <t xml:space="preserve">Acceptability of artificial intelligence (AI)-led chatbot services in healthcare: a mixed-methods study</t>
        </is>
      </c>
      <c r="D6" s="4" t="inlineStr">
        <is>
          <t xml:space="preserve">10.1177/2055207619871808</t>
        </is>
      </c>
      <c r="E6" s="4" t="inlineStr">
        <is>
          <t xml:space="preserve">General healthcare adoption/information</t>
        </is>
      </c>
      <c r="F6" s="4" t="inlineStr">
        <is>
          <t xml:space="preserve">Mixed methods</t>
        </is>
      </c>
      <c r="G6" s="4" t="inlineStr">
        <is>
          <t xml:space="preserve">United Kingdom</t>
        </is>
      </c>
      <c r="H6" s="4" t="inlineStr">
        <is>
          <t xml:space="preserve">Moderate</t>
        </is>
      </c>
      <c r="I6" s="4" t="inlineStr">
        <is>
          <t xml:space="preserve">bounded_healthcare_sample</t>
        </is>
      </c>
      <c r="J6" s="5">
        <v>1</v>
      </c>
      <c r="K6" s="5">
        <v>0</v>
      </c>
      <c r="L6" s="5">
        <v>1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4" t="inlineStr">
        <is>
          <t xml:space="preserve">https://doi.org/10.1177/2055207619871808</t>
        </is>
      </c>
      <c r="T6" s="4" t="inlineStr">
        <is>
          <t xml:space="preserve">Targeted current primary-source check; see source_verification_v2.csv for exact fields and access level. No independent human review.</t>
        </is>
      </c>
      <c r="U6" s="4" t="inlineStr">
        <is>
          <t xml:space="preserve">Not documented</t>
        </is>
      </c>
      <c r="V6" s="5">
        <v>0</v>
      </c>
      <c r="W6" s="5">
        <v>0</v>
      </c>
      <c r="X6" s="5">
        <v>0</v>
      </c>
    </row>
    <row r="7" ht="60" customHeight="1">
      <c r="A7" s="4" t="inlineStr">
        <is>
          <t xml:space="preserve">S03</t>
        </is>
      </c>
      <c r="B7" s="5">
        <v>2019</v>
      </c>
      <c r="C7" s="4" t="inlineStr">
        <is>
          <t xml:space="preserve">A chatbot system for mental healthcare based on SAT counseling method</t>
        </is>
      </c>
      <c r="D7" s="4" t="inlineStr">
        <is>
          <t xml:space="preserve">10.1155/2019/9517321</t>
        </is>
      </c>
      <c r="E7" s="4" t="inlineStr">
        <is>
          <t xml:space="preserve">Mental health and well-being</t>
        </is>
      </c>
      <c r="F7" s="4" t="inlineStr">
        <is>
          <t xml:space="preserve">Randomized/comparative intervention</t>
        </is>
      </c>
      <c r="G7" s="4" t="inlineStr">
        <is>
          <t xml:space="preserve">Japan</t>
        </is>
      </c>
      <c r="H7" s="4" t="inlineStr">
        <is>
          <t xml:space="preserve">Lower</t>
        </is>
      </c>
      <c r="I7" s="4" t="inlineStr">
        <is>
          <t xml:space="preserve">bounded_healthcare_sample</t>
        </is>
      </c>
      <c r="J7" s="5">
        <v>1</v>
      </c>
      <c r="K7" s="5">
        <v>1</v>
      </c>
      <c r="L7" s="5">
        <v>1</v>
      </c>
      <c r="M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4" t="inlineStr">
        <is>
          <t xml:space="preserve">https://doi.org/10.1155/2019/9517321</t>
        </is>
      </c>
      <c r="T7" s="4" t="inlineStr">
        <is>
          <t xml:space="preserve">Targeted current primary-source check; specified fields/access level in source_verification_v2.csv; no independent human review.</t>
        </is>
      </c>
      <c r="U7" s="4" t="inlineStr">
        <is>
          <t xml:space="preserve">Not documented</t>
        </is>
      </c>
      <c r="V7" s="5">
        <v>0</v>
      </c>
      <c r="W7" s="5">
        <v>0</v>
      </c>
      <c r="X7" s="5">
        <v>0</v>
      </c>
    </row>
    <row r="8" ht="60" customHeight="1">
      <c r="A8" s="4" t="inlineStr">
        <is>
          <t xml:space="preserve">S04</t>
        </is>
      </c>
      <c r="B8" s="5">
        <v>2019</v>
      </c>
      <c r="C8" s="4" t="inlineStr">
        <is>
          <t xml:space="preserve">Considering patient safety in autonomous e-mental health systems—detecting risk situations and referring patients back to human care</t>
        </is>
      </c>
      <c r="D8" s="4" t="inlineStr">
        <is>
          <t xml:space="preserve">10.1186/s12911-019-0796-x</t>
        </is>
      </c>
      <c r="E8" s="4" t="inlineStr">
        <is>
          <t xml:space="preserve">Mental health and well-being</t>
        </is>
      </c>
      <c r="F8" s="4" t="inlineStr">
        <is>
          <t xml:space="preserve">Mixed methods</t>
        </is>
      </c>
      <c r="G8" s="4" t="inlineStr">
        <is>
          <t xml:space="preserve">Netherlands/online international sample</t>
        </is>
      </c>
      <c r="H8" s="4" t="inlineStr">
        <is>
          <t xml:space="preserve">Moderate</t>
        </is>
      </c>
      <c r="I8" s="4" t="inlineStr">
        <is>
          <t xml:space="preserve">bounded_healthcare_sample</t>
        </is>
      </c>
      <c r="J8" s="5">
        <v>1</v>
      </c>
      <c r="K8" s="5">
        <v>0</v>
      </c>
      <c r="L8" s="5">
        <v>1</v>
      </c>
      <c r="M8" s="5">
        <v>0</v>
      </c>
      <c r="N8" s="5">
        <v>1</v>
      </c>
      <c r="O8" s="5">
        <v>0</v>
      </c>
      <c r="P8" s="5">
        <v>1</v>
      </c>
      <c r="Q8" s="5">
        <v>0</v>
      </c>
      <c r="R8" s="5">
        <v>0</v>
      </c>
      <c r="S8" s="4" t="inlineStr">
        <is>
          <t xml:space="preserve">https://doi.org/10.1186/s12911-019-0796-x</t>
        </is>
      </c>
      <c r="T8" s="4" t="inlineStr">
        <is>
          <t xml:space="preserve">Targeted current primary-source check; see source_verification_v2.csv for exact fields and access level. No independent human review.</t>
        </is>
      </c>
      <c r="U8" s="4" t="inlineStr">
        <is>
          <t xml:space="preserve">Not documented</t>
        </is>
      </c>
      <c r="V8" s="5">
        <v>1</v>
      </c>
      <c r="W8" s="5">
        <v>1</v>
      </c>
      <c r="X8" s="5">
        <v>0</v>
      </c>
    </row>
    <row r="9" ht="73" customHeight="1">
      <c r="A9" s="4" t="inlineStr">
        <is>
          <t xml:space="preserve">S05</t>
        </is>
      </c>
      <c r="B9" s="5">
        <v>2019</v>
      </c>
      <c r="C9" s="4" t="inlineStr">
        <is>
          <t xml:space="preserve">A chatbot versus physicians to provide information for patients with breast cancer: blind, randomized controlled noninferiority trial</t>
        </is>
      </c>
      <c r="D9" s="4" t="inlineStr">
        <is>
          <t xml:space="preserve">10.2196/15787</t>
        </is>
      </c>
      <c r="E9" s="4" t="inlineStr">
        <is>
          <t xml:space="preserve">Oncology information services</t>
        </is>
      </c>
      <c r="F9" s="4" t="inlineStr">
        <is>
          <t xml:space="preserve">Randomized/comparative intervention</t>
        </is>
      </c>
      <c r="G9" s="4" t="inlineStr">
        <is>
          <t xml:space="preserve">France</t>
        </is>
      </c>
      <c r="H9" s="4" t="inlineStr">
        <is>
          <t xml:space="preserve">Higher</t>
        </is>
      </c>
      <c r="I9" s="4" t="inlineStr">
        <is>
          <t xml:space="preserve">bounded_healthcare_sample</t>
        </is>
      </c>
      <c r="J9" s="5">
        <v>1</v>
      </c>
      <c r="K9" s="5">
        <v>1</v>
      </c>
      <c r="L9" s="5">
        <v>1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4" t="inlineStr">
        <is>
          <t xml:space="preserve">https://doi.org/10.2196/15787</t>
        </is>
      </c>
      <c r="T9" s="4" t="inlineStr">
        <is>
          <t xml:space="preserve">Targeted current primary-source check; see source_verification_v2.csv for exact fields and access level. No independent human review.</t>
        </is>
      </c>
      <c r="U9" s="4" t="inlineStr">
        <is>
          <t xml:space="preserve">Not documented</t>
        </is>
      </c>
      <c r="V9" s="5">
        <v>1</v>
      </c>
      <c r="W9" s="5">
        <v>1</v>
      </c>
      <c r="X9" s="5">
        <v>0</v>
      </c>
    </row>
    <row r="10" ht="60" customHeight="1">
      <c r="A10" s="4" t="inlineStr">
        <is>
          <t xml:space="preserve">S08</t>
        </is>
      </c>
      <c r="B10" s="5">
        <v>2020</v>
      </c>
      <c r="C10" s="4" t="inlineStr">
        <is>
          <t xml:space="preserve">Physicians’ perceptions of the use of a chatbot for information seeking: qualitative study</t>
        </is>
      </c>
      <c r="D10" s="4" t="inlineStr">
        <is>
          <t xml:space="preserve">10.2196/15185</t>
        </is>
      </c>
      <c r="E10" s="4" t="inlineStr">
        <is>
          <t xml:space="preserve">General healthcare adoption/information</t>
        </is>
      </c>
      <c r="F10" s="4" t="inlineStr">
        <is>
          <t xml:space="preserve">Qualitative</t>
        </is>
      </c>
      <c r="G10" s="4" t="inlineStr">
        <is>
          <t xml:space="preserve">France</t>
        </is>
      </c>
      <c r="H10" s="4" t="inlineStr">
        <is>
          <t xml:space="preserve">Moderate</t>
        </is>
      </c>
      <c r="I10" s="4" t="inlineStr">
        <is>
          <t xml:space="preserve">bounded_healthcare_sample</t>
        </is>
      </c>
      <c r="J10" s="5">
        <v>1</v>
      </c>
      <c r="K10" s="5">
        <v>0</v>
      </c>
      <c r="L10" s="5">
        <v>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4" t="inlineStr">
        <is>
          <t xml:space="preserve">https://doi.org/10.2196/15185</t>
        </is>
      </c>
      <c r="T10" s="4" t="inlineStr">
        <is>
          <t xml:space="preserve">Targeted current primary-source check; see source_verification_v2.csv for exact fields and access level. No independent human review.</t>
        </is>
      </c>
      <c r="U10" s="4" t="inlineStr">
        <is>
          <t xml:space="preserve">Not documented</t>
        </is>
      </c>
      <c r="V10" s="5">
        <v>0</v>
      </c>
      <c r="W10" s="5">
        <v>0</v>
      </c>
      <c r="X10" s="5">
        <v>0</v>
      </c>
    </row>
    <row r="11" ht="60" customHeight="1">
      <c r="A11" s="4" t="inlineStr">
        <is>
          <t xml:space="preserve">S09</t>
        </is>
      </c>
      <c r="B11" s="5">
        <v>2020</v>
      </c>
      <c r="C11" s="4" t="inlineStr">
        <is>
          <t xml:space="preserve">Preliminary evaluation of the engagement and effectiveness of a mental health chatbot</t>
        </is>
      </c>
      <c r="D11" s="4" t="inlineStr">
        <is>
          <t xml:space="preserve">10.3389/fdgth.2020.576361</t>
        </is>
      </c>
      <c r="E11" s="4" t="inlineStr">
        <is>
          <t xml:space="preserve">Mental health and well-being</t>
        </is>
      </c>
      <c r="F11" s="4" t="inlineStr">
        <is>
          <t xml:space="preserve">Single-arm/pre-post intervention</t>
        </is>
      </c>
      <c r="G11" s="4" t="inlineStr">
        <is>
          <t xml:space="preserve">Brazil</t>
        </is>
      </c>
      <c r="H11" s="4" t="inlineStr">
        <is>
          <t xml:space="preserve">Lower</t>
        </is>
      </c>
      <c r="I11" s="4" t="inlineStr">
        <is>
          <t xml:space="preserve">bounded_healthcare_sample</t>
        </is>
      </c>
      <c r="J11" s="5">
        <v>1</v>
      </c>
      <c r="K11" s="5">
        <v>0</v>
      </c>
      <c r="L11" s="5">
        <v>1</v>
      </c>
      <c r="M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4" t="inlineStr">
        <is>
          <t xml:space="preserve">https://doi.org/10.3389/fdgth.2020.576361</t>
        </is>
      </c>
      <c r="T11" s="4" t="inlineStr">
        <is>
          <t xml:space="preserve">Targeted current primary-source check; see source_verification_v2.csv for exact fields and access level. No independent human review.</t>
        </is>
      </c>
      <c r="U11" s="4" t="inlineStr">
        <is>
          <t xml:space="preserve">Not documented</t>
        </is>
      </c>
      <c r="V11" s="5">
        <v>1</v>
      </c>
      <c r="W11" s="5">
        <v>0</v>
      </c>
      <c r="X11" s="5">
        <v>0</v>
      </c>
    </row>
    <row r="12" ht="73" customHeight="1">
      <c r="A12" s="4" t="inlineStr">
        <is>
          <t xml:space="preserve">S10</t>
        </is>
      </c>
      <c r="B12" s="5">
        <v>2020</v>
      </c>
      <c r="C12" s="4" t="inlineStr">
        <is>
          <t xml:space="preserve">AI-powered mental health chatbots: examining users’ motivations, active communicative action and engagement after mass-shooting disasters</t>
        </is>
      </c>
      <c r="D12" s="4" t="inlineStr">
        <is>
          <t xml:space="preserve">10.1111/1468-5973.12319</t>
        </is>
      </c>
      <c r="E12" s="4" t="inlineStr">
        <is>
          <t xml:space="preserve">Mental health and well-being</t>
        </is>
      </c>
      <c r="F12" s="4" t="inlineStr">
        <is>
          <t xml:space="preserve">Survey/observational</t>
        </is>
      </c>
      <c r="G12" s="4" t="inlineStr">
        <is>
          <t xml:space="preserve">United States</t>
        </is>
      </c>
      <c r="H12" s="4" t="inlineStr">
        <is>
          <t xml:space="preserve">Moderate</t>
        </is>
      </c>
      <c r="I12" s="4" t="inlineStr">
        <is>
          <t xml:space="preserve">bounded_healthcare_sample</t>
        </is>
      </c>
      <c r="J12" s="5">
        <v>1</v>
      </c>
      <c r="K12" s="5">
        <v>0</v>
      </c>
      <c r="L12" s="5">
        <v>1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4" t="inlineStr">
        <is>
          <t xml:space="preserve">https://doi.org/10.1111/1468-5973.12319</t>
        </is>
      </c>
      <c r="T12" s="4" t="inlineStr">
        <is>
          <t xml:space="preserve">Targeted current primary-source check; see source_verification_v2.csv for exact fields and access level. No independent human review.</t>
        </is>
      </c>
      <c r="U12" s="4" t="inlineStr">
        <is>
          <t xml:space="preserve">Not documented</t>
        </is>
      </c>
      <c r="V12" s="5">
        <v>0</v>
      </c>
      <c r="W12" s="5">
        <v>0</v>
      </c>
      <c r="X12" s="5">
        <v>0</v>
      </c>
    </row>
    <row r="13" ht="60" customHeight="1">
      <c r="A13" s="4" t="inlineStr">
        <is>
          <t xml:space="preserve">S11</t>
        </is>
      </c>
      <c r="B13" s="5">
        <v>2020</v>
      </c>
      <c r="C13" s="4" t="inlineStr">
        <is>
          <t xml:space="preserve">Implementation of a digital chatbot to screen health system employees during the COVID-19 pandemic</t>
        </is>
      </c>
      <c r="D13" s="4" t="inlineStr">
        <is>
          <t xml:space="preserve">10.1093/jamia/ocaa130</t>
        </is>
      </c>
      <c r="E13" s="4" t="inlineStr">
        <is>
          <t xml:space="preserve">Public health</t>
        </is>
      </c>
      <c r="F13" s="4" t="inlineStr">
        <is>
          <t xml:space="preserve">Implementation/technical evaluation</t>
        </is>
      </c>
      <c r="G13" s="4" t="inlineStr">
        <is>
          <t xml:space="preserve">United States</t>
        </is>
      </c>
      <c r="H13" s="4" t="inlineStr">
        <is>
          <t xml:space="preserve">Moderate</t>
        </is>
      </c>
      <c r="I13" s="4" t="inlineStr">
        <is>
          <t xml:space="preserve">bounded_healthcare_sample</t>
        </is>
      </c>
      <c r="J13" s="5">
        <v>1</v>
      </c>
      <c r="K13" s="5">
        <v>0</v>
      </c>
      <c r="L13" s="5">
        <v>1</v>
      </c>
      <c r="M13" s="5">
        <v>0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4" t="inlineStr">
        <is>
          <t xml:space="preserve">https://doi.org/10.1093/jamia/ocaa130</t>
        </is>
      </c>
      <c r="T13" s="4" t="inlineStr">
        <is>
          <t xml:space="preserve">Targeted current primary-source check; see source_verification_v2.csv for exact fields and access level. No independent human review.</t>
        </is>
      </c>
      <c r="U13" s="4" t="inlineStr">
        <is>
          <t xml:space="preserve">Not documented</t>
        </is>
      </c>
      <c r="V13" s="5">
        <v>1</v>
      </c>
      <c r="W13" s="5">
        <v>0</v>
      </c>
      <c r="X13" s="5">
        <v>1</v>
      </c>
    </row>
    <row r="14" ht="60" customHeight="1">
      <c r="A14" s="4" t="inlineStr">
        <is>
          <t xml:space="preserve">S12</t>
        </is>
      </c>
      <c r="B14" s="5">
        <v>2021</v>
      </c>
      <c r="C14" s="4" t="inlineStr">
        <is>
          <t xml:space="preserve">A therapeutic relational agent for reducing problematic substance use (Woebot): development and usability study</t>
        </is>
      </c>
      <c r="D14" s="4" t="inlineStr">
        <is>
          <t xml:space="preserve">10.2196/24850</t>
        </is>
      </c>
      <c r="E14" s="4" t="inlineStr">
        <is>
          <t xml:space="preserve">Mental health and well-being</t>
        </is>
      </c>
      <c r="F14" s="4" t="inlineStr">
        <is>
          <t xml:space="preserve">Single-arm/pre-post intervention</t>
        </is>
      </c>
      <c r="G14" s="4" t="inlineStr">
        <is>
          <t xml:space="preserve">United States</t>
        </is>
      </c>
      <c r="H14" s="4" t="inlineStr">
        <is>
          <t xml:space="preserve">Lower</t>
        </is>
      </c>
      <c r="I14" s="4" t="inlineStr">
        <is>
          <t xml:space="preserve">bounded_healthcare_sample</t>
        </is>
      </c>
      <c r="J14" s="5">
        <v>1</v>
      </c>
      <c r="K14" s="5">
        <v>0</v>
      </c>
      <c r="L14" s="5">
        <v>1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4" t="inlineStr">
        <is>
          <t xml:space="preserve">https://doi.org/10.2196/24850</t>
        </is>
      </c>
      <c r="T14" s="4" t="inlineStr">
        <is>
          <t xml:space="preserve">Targeted current primary-source check; see source_verification_v2.csv for exact fields and access level. No independent human review.</t>
        </is>
      </c>
      <c r="U14" s="4" t="inlineStr">
        <is>
          <t xml:space="preserve">Not documented</t>
        </is>
      </c>
      <c r="V14" s="5">
        <v>1</v>
      </c>
      <c r="W14" s="5">
        <v>0</v>
      </c>
      <c r="X14" s="5">
        <v>0</v>
      </c>
    </row>
    <row r="15" ht="60" customHeight="1">
      <c r="A15" s="4" t="inlineStr">
        <is>
          <t xml:space="preserve">S13</t>
        </is>
      </c>
      <c r="B15" s="5">
        <v>2021</v>
      </c>
      <c r="C15" s="4" t="inlineStr">
        <is>
          <t xml:space="preserve">Utilization of self-diagnosis health chatbots in real-world settings: case study</t>
        </is>
      </c>
      <c r="D15" s="4" t="inlineStr">
        <is>
          <t xml:space="preserve">10.2196/19928</t>
        </is>
      </c>
      <c r="E15" s="4" t="inlineStr">
        <is>
          <t xml:space="preserve">General healthcare adoption/information</t>
        </is>
      </c>
      <c r="F15" s="4" t="inlineStr">
        <is>
          <t xml:space="preserve">Survey/observational</t>
        </is>
      </c>
      <c r="G15" s="4" t="inlineStr">
        <is>
          <t xml:space="preserve">China</t>
        </is>
      </c>
      <c r="H15" s="4" t="inlineStr">
        <is>
          <t xml:space="preserve">Moderate</t>
        </is>
      </c>
      <c r="I15" s="4" t="inlineStr">
        <is>
          <t xml:space="preserve">bounded_healthcare_sample</t>
        </is>
      </c>
      <c r="J15" s="5">
        <v>1</v>
      </c>
      <c r="K15" s="5">
        <v>0</v>
      </c>
      <c r="L15" s="5">
        <v>1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4" t="inlineStr">
        <is>
          <t xml:space="preserve">https://doi.org/10.2196/19928</t>
        </is>
      </c>
      <c r="T15" s="4" t="inlineStr">
        <is>
          <t xml:space="preserve">Targeted current primary-source check; see source_verification_v2.csv for exact fields and access level. No independent human review.</t>
        </is>
      </c>
      <c r="U15" s="4" t="inlineStr">
        <is>
          <t xml:space="preserve">Not documented</t>
        </is>
      </c>
      <c r="V15" s="5">
        <v>1</v>
      </c>
      <c r="W15" s="5">
        <v>0</v>
      </c>
      <c r="X15" s="5">
        <v>0</v>
      </c>
    </row>
    <row r="16" ht="60" customHeight="1">
      <c r="A16" s="4" t="inlineStr">
        <is>
          <t xml:space="preserve">S14</t>
        </is>
      </c>
      <c r="B16" s="5">
        <v>2021</v>
      </c>
      <c r="C16" s="4" t="inlineStr">
        <is>
          <t xml:space="preserve">Can chatbots help support a person’s mental health? Perceptions and views from mental healthcare professionals and experts</t>
        </is>
      </c>
      <c r="D16" s="4" t="inlineStr">
        <is>
          <t xml:space="preserve">10.1145/3453175</t>
        </is>
      </c>
      <c r="E16" s="4" t="inlineStr">
        <is>
          <t xml:space="preserve">Mental health and well-being</t>
        </is>
      </c>
      <c r="F16" s="4" t="inlineStr">
        <is>
          <t xml:space="preserve">Survey/observational</t>
        </is>
      </c>
      <c r="G16" s="4" t="inlineStr">
        <is>
          <t xml:space="preserve">Northern Ireland, Ireland, Scotland, Sweden and Finland</t>
        </is>
      </c>
      <c r="H16" s="4" t="inlineStr">
        <is>
          <t xml:space="preserve">Moderate</t>
        </is>
      </c>
      <c r="I16" s="4" t="inlineStr">
        <is>
          <t xml:space="preserve">bounded_healthcare_sample</t>
        </is>
      </c>
      <c r="J16" s="5">
        <v>1</v>
      </c>
      <c r="K16" s="5">
        <v>0</v>
      </c>
      <c r="L16" s="5">
        <v>1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4" t="inlineStr">
        <is>
          <t xml:space="preserve">https://doi.org/10.1145/3453175</t>
        </is>
      </c>
      <c r="T16" s="4" t="inlineStr">
        <is>
          <t xml:space="preserve">Targeted current primary-source check; specified fields/access level in source_verification_v2.csv; no independent human review.</t>
        </is>
      </c>
      <c r="U16" s="4" t="inlineStr">
        <is>
          <t xml:space="preserve">Not documented</t>
        </is>
      </c>
      <c r="V16" s="5">
        <v>0</v>
      </c>
      <c r="W16" s="5">
        <v>0</v>
      </c>
      <c r="X16" s="5">
        <v>0</v>
      </c>
    </row>
    <row r="17" ht="73" customHeight="1">
      <c r="A17" s="4" t="inlineStr">
        <is>
          <t xml:space="preserve">S15</t>
        </is>
      </c>
      <c r="B17" s="5">
        <v>2021</v>
      </c>
      <c r="C17" s="4" t="inlineStr">
        <is>
          <t xml:space="preserve">AdolescentBot: understanding opportunities for chatbots in combating adolescent sexual and reproductive health problems in Bangladesh</t>
        </is>
      </c>
      <c r="D17" s="4" t="inlineStr">
        <is>
          <t xml:space="preserve">10.1145/3411764.3445694</t>
        </is>
      </c>
      <c r="E17" s="4" t="inlineStr">
        <is>
          <t xml:space="preserve">Public health</t>
        </is>
      </c>
      <c r="F17" s="4" t="inlineStr">
        <is>
          <t xml:space="preserve">Mixed methods</t>
        </is>
      </c>
      <c r="G17" s="4" t="inlineStr">
        <is>
          <t xml:space="preserve">Bangladesh</t>
        </is>
      </c>
      <c r="H17" s="4" t="inlineStr">
        <is>
          <t xml:space="preserve">Moderate</t>
        </is>
      </c>
      <c r="I17" s="4" t="inlineStr">
        <is>
          <t xml:space="preserve">bounded_healthcare_sample</t>
        </is>
      </c>
      <c r="J17" s="5">
        <v>1</v>
      </c>
      <c r="K17" s="5">
        <v>0</v>
      </c>
      <c r="L17" s="5">
        <v>1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4" t="inlineStr">
        <is>
          <t xml:space="preserve">https://doi.org/10.1145/3411764.3445694</t>
        </is>
      </c>
      <c r="T17" s="4" t="inlineStr">
        <is>
          <t xml:space="preserve">Targeted current primary-source check; see source_verification_v2.csv for exact fields and access level. No independent human review.</t>
        </is>
      </c>
      <c r="U17" s="4" t="inlineStr">
        <is>
          <t xml:space="preserve">Not documented</t>
        </is>
      </c>
      <c r="V17" s="5">
        <v>0</v>
      </c>
      <c r="W17" s="5">
        <v>0</v>
      </c>
      <c r="X17" s="5">
        <v>0</v>
      </c>
    </row>
    <row r="18" ht="60" customHeight="1">
      <c r="A18" s="4" t="inlineStr">
        <is>
          <t xml:space="preserve">S16</t>
        </is>
      </c>
      <c r="B18" s="5">
        <v>2021</v>
      </c>
      <c r="C18" s="4" t="inlineStr">
        <is>
          <t xml:space="preserve">Information needs and perceptions of chatbots for hypertension medication self-management: a mixed methods study</t>
        </is>
      </c>
      <c r="D18" s="4" t="inlineStr">
        <is>
          <t xml:space="preserve">10.1093/jamiaopen/ooab021</t>
        </is>
      </c>
      <c r="E18" s="4" t="inlineStr">
        <is>
          <t xml:space="preserve">Chronic-condition self-management</t>
        </is>
      </c>
      <c r="F18" s="4" t="inlineStr">
        <is>
          <t xml:space="preserve">Mixed methods</t>
        </is>
      </c>
      <c r="G18" s="4" t="inlineStr">
        <is>
          <t xml:space="preserve">United States</t>
        </is>
      </c>
      <c r="H18" s="4" t="inlineStr">
        <is>
          <t xml:space="preserve">Moderate</t>
        </is>
      </c>
      <c r="I18" s="4" t="inlineStr">
        <is>
          <t xml:space="preserve">bounded_healthcare_sample</t>
        </is>
      </c>
      <c r="J18" s="5">
        <v>1</v>
      </c>
      <c r="K18" s="5">
        <v>0</v>
      </c>
      <c r="L18" s="5">
        <v>1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4" t="inlineStr">
        <is>
          <t xml:space="preserve">https://doi.org/10.1093/jamiaopen/ooab021</t>
        </is>
      </c>
      <c r="T18" s="4" t="inlineStr">
        <is>
          <t xml:space="preserve">Targeted current primary-source check; see source_verification_v2.csv for exact fields and access level. No independent human review.</t>
        </is>
      </c>
      <c r="U18" s="4" t="inlineStr">
        <is>
          <t xml:space="preserve">Not documented</t>
        </is>
      </c>
      <c r="V18" s="5">
        <v>0</v>
      </c>
      <c r="W18" s="5">
        <v>0</v>
      </c>
      <c r="X18" s="5">
        <v>0</v>
      </c>
    </row>
    <row r="19" ht="73" customHeight="1">
      <c r="A19" s="4" t="inlineStr">
        <is>
          <t xml:space="preserve">S17</t>
        </is>
      </c>
      <c r="B19" s="5">
        <v>2021</v>
      </c>
      <c r="C19" s="4" t="inlineStr">
        <is>
          <t xml:space="preserve">Mobile app-based chatbot to deliver cognitive behavioral therapy and psychoeducation for adults with attention deficit: a development and feasibility/usability study</t>
        </is>
      </c>
      <c r="D19" s="4" t="inlineStr">
        <is>
          <t xml:space="preserve">10.1016/j.ijmedinf.2021.104440</t>
        </is>
      </c>
      <c r="E19" s="4" t="inlineStr">
        <is>
          <t xml:space="preserve">Mental health and well-being</t>
        </is>
      </c>
      <c r="F19" s="4" t="inlineStr">
        <is>
          <t xml:space="preserve">Randomized/comparative intervention</t>
        </is>
      </c>
      <c r="G19" s="4" t="inlineStr">
        <is>
          <t xml:space="preserve">South Korea</t>
        </is>
      </c>
      <c r="H19" s="4" t="inlineStr">
        <is>
          <t xml:space="preserve">Moderate</t>
        </is>
      </c>
      <c r="I19" s="4" t="inlineStr">
        <is>
          <t xml:space="preserve">bounded_healthcare_sample</t>
        </is>
      </c>
      <c r="J19" s="5">
        <v>1</v>
      </c>
      <c r="K19" s="5">
        <v>1</v>
      </c>
      <c r="L19" s="5">
        <v>1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4" t="inlineStr">
        <is>
          <t xml:space="preserve">https://doi.org/10.1016/j.ijmedinf.2021.104440</t>
        </is>
      </c>
      <c r="T19" s="4" t="inlineStr">
        <is>
          <t xml:space="preserve">Targeted current primary-source check; see source_verification_v2.csv for exact fields and access level. No independent human review.</t>
        </is>
      </c>
      <c r="U19" s="4" t="inlineStr">
        <is>
          <t xml:space="preserve">Not documented</t>
        </is>
      </c>
      <c r="V19" s="5">
        <v>1</v>
      </c>
      <c r="W19" s="5">
        <v>0</v>
      </c>
      <c r="X19" s="5">
        <v>0</v>
      </c>
    </row>
    <row r="20" ht="73" customHeight="1">
      <c r="A20" s="4" t="inlineStr">
        <is>
          <t xml:space="preserve">S18</t>
        </is>
      </c>
      <c r="B20" s="5">
        <v>2022</v>
      </c>
      <c r="C20" s="4" t="inlineStr">
        <is>
          <t xml:space="preserve">Mental health chatbot for young adults with depressive symptoms during the COVID-19 pandemic: single-blind, three-arm randomized controlled trial</t>
        </is>
      </c>
      <c r="D20" s="4" t="inlineStr">
        <is>
          <t xml:space="preserve">10.2196/40719</t>
        </is>
      </c>
      <c r="E20" s="4" t="inlineStr">
        <is>
          <t xml:space="preserve">Mental health and well-being</t>
        </is>
      </c>
      <c r="F20" s="4" t="inlineStr">
        <is>
          <t xml:space="preserve">Randomized/comparative intervention</t>
        </is>
      </c>
      <c r="G20" s="4" t="inlineStr">
        <is>
          <t xml:space="preserve">China</t>
        </is>
      </c>
      <c r="H20" s="4" t="inlineStr">
        <is>
          <t xml:space="preserve">Higher</t>
        </is>
      </c>
      <c r="I20" s="4" t="inlineStr">
        <is>
          <t xml:space="preserve">bounded_healthcare_sample</t>
        </is>
      </c>
      <c r="J20" s="5">
        <v>1</v>
      </c>
      <c r="K20" s="5">
        <v>1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4" t="inlineStr">
        <is>
          <t xml:space="preserve">https://doi.org/10.2196/40719</t>
        </is>
      </c>
      <c r="T20" s="4" t="inlineStr">
        <is>
          <t xml:space="preserve">Targeted current primary-source check; see source_verification_v2.csv for exact fields and access level. No independent human review.</t>
        </is>
      </c>
      <c r="U20" s="4" t="inlineStr">
        <is>
          <t xml:space="preserve">Not documented</t>
        </is>
      </c>
      <c r="V20" s="5">
        <v>1</v>
      </c>
      <c r="W20" s="5">
        <v>0</v>
      </c>
      <c r="X20" s="5">
        <v>0</v>
      </c>
    </row>
    <row r="21" ht="60" customHeight="1">
      <c r="A21" s="4" t="inlineStr">
        <is>
          <t xml:space="preserve">S19</t>
        </is>
      </c>
      <c r="B21" s="5">
        <v>2022</v>
      </c>
      <c r="C21" s="4" t="inlineStr">
        <is>
          <t xml:space="preserve">Effectiveness of a chatbot for eating disorders prevention: a randomized clinical trial</t>
        </is>
      </c>
      <c r="D21" s="4" t="inlineStr">
        <is>
          <t xml:space="preserve">10.1002/eat.23662</t>
        </is>
      </c>
      <c r="E21" s="4" t="inlineStr">
        <is>
          <t xml:space="preserve">Mental health and well-being</t>
        </is>
      </c>
      <c r="F21" s="4" t="inlineStr">
        <is>
          <t xml:space="preserve">Randomized/comparative intervention</t>
        </is>
      </c>
      <c r="G21" s="4" t="inlineStr">
        <is>
          <t xml:space="preserve">United States</t>
        </is>
      </c>
      <c r="H21" s="4" t="inlineStr">
        <is>
          <t xml:space="preserve">Higher</t>
        </is>
      </c>
      <c r="I21" s="4" t="inlineStr">
        <is>
          <t xml:space="preserve">bounded_healthcare_sample</t>
        </is>
      </c>
      <c r="J21" s="5">
        <v>1</v>
      </c>
      <c r="K21" s="5">
        <v>1</v>
      </c>
      <c r="L21" s="5">
        <v>1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4" t="inlineStr">
        <is>
          <t xml:space="preserve">https://doi.org/10.1002/eat.23662</t>
        </is>
      </c>
      <c r="T21" s="4" t="inlineStr">
        <is>
          <t xml:space="preserve">Targeted current primary-source check; see source_verification_v2.csv for exact fields and access level. No independent human review.</t>
        </is>
      </c>
      <c r="U21" s="4" t="inlineStr">
        <is>
          <t xml:space="preserve">Not documented</t>
        </is>
      </c>
      <c r="V21" s="5">
        <v>1</v>
      </c>
      <c r="W21" s="5">
        <v>0</v>
      </c>
      <c r="X21" s="5">
        <v>0</v>
      </c>
    </row>
    <row r="22" ht="60" customHeight="1">
      <c r="A22" s="4" t="inlineStr">
        <is>
          <t xml:space="preserve">S20</t>
        </is>
      </c>
      <c r="B22" s="5">
        <v>2023</v>
      </c>
      <c r="C22" s="4" t="inlineStr">
        <is>
          <t xml:space="preserve">Changes in stress, burnout, and resilience associated with an 8-week intervention with relational agent Woebot</t>
        </is>
      </c>
      <c r="D22" s="4" t="inlineStr">
        <is>
          <t xml:space="preserve">10.1016/j.invent.2023.100637</t>
        </is>
      </c>
      <c r="E22" s="4" t="inlineStr">
        <is>
          <t xml:space="preserve">Mental health and well-being</t>
        </is>
      </c>
      <c r="F22" s="4" t="inlineStr">
        <is>
          <t xml:space="preserve">Single-arm/pre-post intervention</t>
        </is>
      </c>
      <c r="G22" s="4" t="inlineStr">
        <is>
          <t xml:space="preserve">United States</t>
        </is>
      </c>
      <c r="H22" s="4" t="inlineStr">
        <is>
          <t xml:space="preserve">Lower</t>
        </is>
      </c>
      <c r="I22" s="4" t="inlineStr">
        <is>
          <t xml:space="preserve">bounded_healthcare_sample</t>
        </is>
      </c>
      <c r="J22" s="5">
        <v>1</v>
      </c>
      <c r="K22" s="5">
        <v>0</v>
      </c>
      <c r="L22" s="5">
        <v>1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4" t="inlineStr">
        <is>
          <t xml:space="preserve">https://doi.org/10.1016/j.invent.2023.100637</t>
        </is>
      </c>
      <c r="T22" s="4" t="inlineStr">
        <is>
          <t xml:space="preserve">Targeted current primary-source check; see source_verification_v2.csv for exact fields and access level. No independent human review.</t>
        </is>
      </c>
      <c r="U22" s="4" t="inlineStr">
        <is>
          <t xml:space="preserve">Not documented</t>
        </is>
      </c>
      <c r="V22" s="5">
        <v>1</v>
      </c>
      <c r="W22" s="5">
        <v>0</v>
      </c>
      <c r="X22" s="5">
        <v>0</v>
      </c>
    </row>
    <row r="23" ht="60" customHeight="1">
      <c r="A23" s="4" t="inlineStr">
        <is>
          <t xml:space="preserve">S21</t>
        </is>
      </c>
      <c r="B23" s="5">
        <v>2023</v>
      </c>
      <c r="C23" s="4" t="inlineStr">
        <is>
          <t xml:space="preserve">A multilingual digital mental health and well-being chatbot (ChatPal): pre-post multicenter intervention study</t>
        </is>
      </c>
      <c r="D23" s="4" t="inlineStr">
        <is>
          <t xml:space="preserve">10.2196/43051</t>
        </is>
      </c>
      <c r="E23" s="4" t="inlineStr">
        <is>
          <t xml:space="preserve">Mental health and well-being</t>
        </is>
      </c>
      <c r="F23" s="4" t="inlineStr">
        <is>
          <t xml:space="preserve">Single-arm/pre-post intervention</t>
        </is>
      </c>
      <c r="G23" s="4" t="inlineStr">
        <is>
          <t xml:space="preserve">Ireland, Northern Ireland, Scotland, Finland and Sweden</t>
        </is>
      </c>
      <c r="H23" s="4" t="inlineStr">
        <is>
          <t xml:space="preserve">Moderate</t>
        </is>
      </c>
      <c r="I23" s="4" t="inlineStr">
        <is>
          <t xml:space="preserve">bounded_healthcare_sample</t>
        </is>
      </c>
      <c r="J23" s="5">
        <v>1</v>
      </c>
      <c r="K23" s="5">
        <v>0</v>
      </c>
      <c r="L23" s="5">
        <v>1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4" t="inlineStr">
        <is>
          <t xml:space="preserve">https://doi.org/10.2196/43051</t>
        </is>
      </c>
      <c r="T23" s="4" t="inlineStr">
        <is>
          <t xml:space="preserve">Targeted current primary-source check; see source_verification_v2.csv for exact fields and access level. No independent human review.</t>
        </is>
      </c>
      <c r="U23" s="4" t="inlineStr">
        <is>
          <t xml:space="preserve">Not documented</t>
        </is>
      </c>
      <c r="V23" s="5">
        <v>1</v>
      </c>
      <c r="W23" s="5">
        <v>0</v>
      </c>
      <c r="X23" s="5">
        <v>1</v>
      </c>
    </row>
    <row r="24" ht="73" customHeight="1">
      <c r="A24" s="4" t="inlineStr">
        <is>
          <t xml:space="preserve">S22</t>
        </is>
      </c>
      <c r="B24" s="5">
        <v>2024</v>
      </c>
      <c r="C24" s="4" t="inlineStr">
        <is>
          <t xml:space="preserve">Effectiveness of a chatbot in improving the mental wellbeing of health workers in Malawi during the COVID-19 pandemic: a randomized, controlled trial</t>
        </is>
      </c>
      <c r="D24" s="4" t="inlineStr">
        <is>
          <t xml:space="preserve">10.1371/journal.pone.0303370</t>
        </is>
      </c>
      <c r="E24" s="4" t="inlineStr">
        <is>
          <t xml:space="preserve">Mental health and well-being</t>
        </is>
      </c>
      <c r="F24" s="4" t="inlineStr">
        <is>
          <t xml:space="preserve">Randomized/comparative intervention</t>
        </is>
      </c>
      <c r="G24" s="4" t="inlineStr">
        <is>
          <t xml:space="preserve">Malawi</t>
        </is>
      </c>
      <c r="H24" s="4" t="inlineStr">
        <is>
          <t xml:space="preserve">Moderate</t>
        </is>
      </c>
      <c r="I24" s="4" t="inlineStr">
        <is>
          <t xml:space="preserve">bounded_healthcare_sample</t>
        </is>
      </c>
      <c r="J24" s="5">
        <v>1</v>
      </c>
      <c r="K24" s="5">
        <v>1</v>
      </c>
      <c r="L24" s="5">
        <v>1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4" t="inlineStr">
        <is>
          <t xml:space="preserve">https://doi.org/10.1371/journal.pone.0303370</t>
        </is>
      </c>
      <c r="T24" s="4" t="inlineStr">
        <is>
          <t xml:space="preserve">Targeted current primary-source check; see source_verification_v2.csv for exact fields and access level. No independent human review.</t>
        </is>
      </c>
      <c r="U24" s="4" t="inlineStr">
        <is>
          <t xml:space="preserve">Not documented</t>
        </is>
      </c>
      <c r="V24" s="5">
        <v>1</v>
      </c>
      <c r="W24" s="5">
        <v>0</v>
      </c>
      <c r="X24" s="5">
        <v>0</v>
      </c>
    </row>
    <row r="25" ht="86" customHeight="1">
      <c r="A25" s="4" t="inlineStr">
        <is>
          <t xml:space="preserve">S23</t>
        </is>
      </c>
      <c r="B25" s="5">
        <v>2024</v>
      </c>
      <c r="C25" s="4" t="inlineStr">
        <is>
          <t xml:space="preserve">Evaluation of a CBT-based program for mental health in the general population during the COVID-19 pandemic: a stepped-care approach using a chatbot and digitized group intervention</t>
        </is>
      </c>
      <c r="D25" s="4" t="inlineStr">
        <is>
          <t xml:space="preserve">10.1155/2024/8950388</t>
        </is>
      </c>
      <c r="E25" s="4" t="inlineStr">
        <is>
          <t xml:space="preserve">Mental health and well-being</t>
        </is>
      </c>
      <c r="F25" s="4" t="inlineStr">
        <is>
          <t xml:space="preserve">Single-arm/pre-post intervention</t>
        </is>
      </c>
      <c r="G25" s="4" t="inlineStr">
        <is>
          <t xml:space="preserve">Germany</t>
        </is>
      </c>
      <c r="H25" s="4" t="inlineStr">
        <is>
          <t xml:space="preserve">Lower</t>
        </is>
      </c>
      <c r="I25" s="4" t="inlineStr">
        <is>
          <t xml:space="preserve">bounded_healthcare_sample</t>
        </is>
      </c>
      <c r="J25" s="5">
        <v>1</v>
      </c>
      <c r="K25" s="5">
        <v>0</v>
      </c>
      <c r="L25" s="5">
        <v>1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4" t="inlineStr">
        <is>
          <t xml:space="preserve">https://doi.org/10.1155/2024/8950388</t>
        </is>
      </c>
      <c r="T25" s="4" t="inlineStr">
        <is>
          <t xml:space="preserve">Targeted current primary-source check; specified fields/access level in source_verification_v2.csv; no independent human review.</t>
        </is>
      </c>
      <c r="U25" s="4" t="inlineStr">
        <is>
          <t xml:space="preserve">Not documented</t>
        </is>
      </c>
      <c r="V25" s="5">
        <v>1</v>
      </c>
      <c r="W25" s="5">
        <v>0</v>
      </c>
      <c r="X25" s="5">
        <v>0</v>
      </c>
    </row>
    <row r="26" ht="86" customHeight="1">
      <c r="A26" s="4" t="inlineStr">
        <is>
          <t xml:space="preserve">S24</t>
        </is>
      </c>
      <c r="B26" s="5">
        <v>2024</v>
      </c>
      <c r="C26" s="4" t="inlineStr">
        <is>
          <t xml:space="preserve">Development and evaluation of a smartphone-based chatbot coach to facilitate a balanced lifestyle in individuals with headaches (BalanceUP App): randomized controlled trial</t>
        </is>
      </c>
      <c r="D26" s="4" t="inlineStr">
        <is>
          <t xml:space="preserve">10.2196/50132</t>
        </is>
      </c>
      <c r="E26" s="4" t="inlineStr">
        <is>
          <t xml:space="preserve">Chronic-condition self-management</t>
        </is>
      </c>
      <c r="F26" s="4" t="inlineStr">
        <is>
          <t xml:space="preserve">Randomized/comparative intervention</t>
        </is>
      </c>
      <c r="G26" s="4" t="inlineStr">
        <is>
          <t xml:space="preserve">Switzerland</t>
        </is>
      </c>
      <c r="H26" s="4" t="inlineStr">
        <is>
          <t xml:space="preserve">Higher</t>
        </is>
      </c>
      <c r="I26" s="4" t="inlineStr">
        <is>
          <t xml:space="preserve">bounded_healthcare_sample</t>
        </is>
      </c>
      <c r="J26" s="5">
        <v>1</v>
      </c>
      <c r="K26" s="5">
        <v>1</v>
      </c>
      <c r="L26" s="5">
        <v>1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4" t="inlineStr">
        <is>
          <t xml:space="preserve">https://doi.org/10.2196/50132</t>
        </is>
      </c>
      <c r="T26" s="4" t="inlineStr">
        <is>
          <t xml:space="preserve">Targeted current primary-source check; see source_verification_v2.csv for exact fields and access level. No independent human review.</t>
        </is>
      </c>
      <c r="U26" s="4" t="inlineStr">
        <is>
          <t xml:space="preserve">Not documented</t>
        </is>
      </c>
      <c r="V26" s="5">
        <v>1</v>
      </c>
      <c r="W26" s="5">
        <v>0</v>
      </c>
      <c r="X26" s="5">
        <v>0</v>
      </c>
    </row>
  </sheetData>
  <autoFilter ref="A4:X26"/>
  <mergeCells count="2">
    <mergeCell ref="A1:X1"/>
    <mergeCell ref="A2:X2"/>
  </mergeCells>
  <pageMargins left="0.3" right="0.3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sheetFormatPr defaultRowHeight="18"/>
  <cols>
    <col min="1" max="1" width="12" customWidth="1"/>
    <col min="2" max="2" width="36" customWidth="1"/>
    <col min="3" max="3" width="12" customWidth="1"/>
    <col min="4" max="4" width="36" customWidth="1"/>
    <col min="5" max="5" width="36" customWidth="1"/>
    <col min="6" max="6" width="36" customWidth="1"/>
    <col min="7" max="7" width="36" customWidth="1"/>
    <col min="8" max="8" width="36" customWidth="1"/>
    <col min="9" max="9" width="36" customWidth="1"/>
    <col min="10" max="10" width="36" customWidth="1"/>
    <col min="11" max="11" width="36" customWidth="1"/>
    <col min="12" max="12" width="42" customWidth="1"/>
    <col min="13" max="13" width="36" customWidth="1"/>
    <col min="14" max="14" width="36" customWidth="1"/>
    <col min="15" max="15" width="36" customWidth="1"/>
    <col min="16" max="16" width="36" customWidth="1"/>
    <col min="17" max="17" width="36" customWidth="1"/>
    <col min="18" max="18" width="42" customWidth="1"/>
    <col min="19" max="19" width="42" customWidth="1"/>
    <col min="20" max="20" width="36" customWidth="1"/>
    <col min="21" max="21" width="36" customWidth="1"/>
    <col min="22" max="22" width="36" customWidth="1"/>
  </cols>
  <sheetData>
    <row r="1" ht="30" customHeight="1">
      <c r="A1" s="1" t="inlineStr">
        <is>
          <t xml:space="preserve">Report roster</t>
        </is>
      </c>
    </row>
    <row r="2" ht="34" customHeight="1">
      <c r="A2" s="2" t="inlineStr">
        <is>
          <t xml:space="preserve">Source: 01_data/full_study_roster26.csv. Report-level evidence; source-access limits and analytic roles are retained.</t>
        </is>
      </c>
    </row>
    <row r="4" ht="44" customHeight="1">
      <c r="A4" s="3" t="inlineStr">
        <is>
          <t xml:space="preserve">Study ID</t>
        </is>
      </c>
      <c r="B4" s="3" t="inlineStr">
        <is>
          <t xml:space="preserve">Citation</t>
        </is>
      </c>
      <c r="C4" s="3" t="inlineStr">
        <is>
          <t xml:space="preserve">Year</t>
        </is>
      </c>
      <c r="D4" s="3" t="inlineStr">
        <is>
          <t xml:space="preserve">Title</t>
        </is>
      </c>
      <c r="E4" s="3" t="inlineStr">
        <is>
          <t xml:space="preserve">DOI</t>
        </is>
      </c>
      <c r="F4" s="3" t="inlineStr">
        <is>
          <t xml:space="preserve">System</t>
        </is>
      </c>
      <c r="G4" s="3" t="inlineStr">
        <is>
          <t xml:space="preserve">Domain</t>
        </is>
      </c>
      <c r="H4" s="3" t="inlineStr">
        <is>
          <t xml:space="preserve">Country/region</t>
        </is>
      </c>
      <c r="I4" s="3" t="inlineStr">
        <is>
          <t xml:space="preserve">Stakeholder</t>
        </is>
      </c>
      <c r="J4" s="3" t="inlineStr">
        <is>
          <t xml:space="preserve">Design</t>
        </is>
      </c>
      <c r="K4" s="3" t="inlineStr">
        <is>
          <t xml:space="preserve">Design family</t>
        </is>
      </c>
      <c r="L4" s="3" t="inlineStr">
        <is>
          <t xml:space="preserve">Sample summary</t>
        </is>
      </c>
      <c r="M4" s="3" t="inlineStr">
        <is>
          <t xml:space="preserve">Comparator</t>
        </is>
      </c>
      <c r="N4" s="3" t="inlineStr">
        <is>
          <t xml:space="preserve">Duration/follow-up</t>
        </is>
      </c>
      <c r="O4" s="3" t="inlineStr">
        <is>
          <t xml:space="preserve">Interpretive confidence</t>
        </is>
      </c>
      <c r="P4" s="3" t="inlineStr">
        <is>
          <t xml:space="preserve">Source URL</t>
        </is>
      </c>
      <c r="Q4" s="3" t="inlineStr">
        <is>
          <t xml:space="preserve">Revised role</t>
        </is>
      </c>
      <c r="R4" s="3" t="inlineStr">
        <is>
          <t xml:space="preserve">Current verification</t>
        </is>
      </c>
      <c r="S4" s="3" t="inlineStr">
        <is>
          <t xml:space="preserve">Independent verification</t>
        </is>
      </c>
      <c r="T4" s="3" t="inlineStr">
        <is>
          <t xml:space="preserve">Full bibliographic citation</t>
        </is>
      </c>
      <c r="U4" s="3" t="inlineStr">
        <is>
          <t xml:space="preserve">Legacy reference number</t>
        </is>
      </c>
      <c r="V4" s="3" t="inlineStr">
        <is>
          <t xml:space="preserve">Legacy eligibility</t>
        </is>
      </c>
    </row>
    <row r="5" ht="99" customHeight="1">
      <c r="A5" s="4" t="inlineStr">
        <is>
          <t xml:space="preserve">S01</t>
        </is>
      </c>
      <c r="B5" s="4" t="inlineStr">
        <is>
          <t xml:space="preserve">Palanica et al. (2019)</t>
        </is>
      </c>
      <c r="C5" s="5">
        <v>2019</v>
      </c>
      <c r="D5" s="4" t="inlineStr">
        <is>
          <t xml:space="preserve">Physicians’ perceptions of chatbots in health care: cross-sectional web-based survey</t>
        </is>
      </c>
      <c r="E5" s="4" t="inlineStr">
        <is>
          <t xml:space="preserve">10.2196/12887</t>
        </is>
      </c>
      <c r="F5" s="4" t="inlineStr">
        <is>
          <t xml:space="preserve">Generic health chatbots (scenario-based)</t>
        </is>
      </c>
      <c r="G5" s="4" t="inlineStr">
        <is>
          <t xml:space="preserve">General healthcare adoption</t>
        </is>
      </c>
      <c r="H5" s="4" t="inlineStr">
        <is>
          <t xml:space="preserve">United States</t>
        </is>
      </c>
      <c r="I5" s="4" t="inlineStr">
        <is>
          <t xml:space="preserve">Physicians</t>
        </is>
      </c>
      <c r="J5" s="4" t="inlineStr">
        <is>
          <t xml:space="preserve">Cross-sectional web survey</t>
        </is>
      </c>
      <c r="K5" s="4" t="inlineStr">
        <is>
          <t xml:space="preserve">Survey/observational</t>
        </is>
      </c>
      <c r="L5" s="4" t="inlineStr">
        <is>
          <t xml:space="preserve">Recruited: 100; randomized: N/A; completed: 100; analyzed: 100</t>
        </is>
      </c>
      <c r="M5" s="4" t="inlineStr">
        <is>
          <t xml:space="preserve">None</t>
        </is>
      </c>
      <c r="N5" s="4" t="inlineStr">
        <is>
          <t xml:space="preserve">Single survey</t>
        </is>
      </c>
      <c r="O5" s="4" t="inlineStr">
        <is>
          <t xml:space="preserve">Moderate</t>
        </is>
      </c>
      <c r="P5" s="4" t="inlineStr">
        <is>
          <t xml:space="preserve">https://doi.org/10.2196/12887</t>
        </is>
      </c>
      <c r="Q5" s="4" t="inlineStr">
        <is>
          <t xml:space="preserve">bounded_healthcare_sample</t>
        </is>
      </c>
      <c r="R5" s="4" t="inlineStr">
        <is>
          <t xml:space="preserve">Targeted primary full text recheck, 23 October 2026: Results; Tables 1–6. Scope: 100 physician survey respondents; perceived task suitability and risks, not observed patient improvement. Not a full independent appraisal.</t>
        </is>
      </c>
      <c r="S5" s="4" t="inlineStr">
        <is>
          <t xml:space="preserve">Not documented</t>
        </is>
      </c>
      <c r="T5" s="4" t="inlineStr">
        <is>
          <t xml:space="preserve">Palanica A, Flaschner P, Thommandram A, Li M, Fossat Y. Physicians’ perceptions of chatbots in health care: cross-sectional web-based survey. J Med Internet Res. 2019;21(4):e12887. doi:10.2196/12887.</t>
        </is>
      </c>
      <c r="U5" s="4" t="inlineStr">
        <is>
          <t xml:space="preserve">[14]</t>
        </is>
      </c>
      <c r="V5" s="4" t="inlineStr">
        <is>
          <t xml:space="preserve">Working inclusion</t>
        </is>
      </c>
    </row>
    <row r="6" ht="99" customHeight="1">
      <c r="A6" s="4" t="inlineStr">
        <is>
          <t xml:space="preserve">S02</t>
        </is>
      </c>
      <c r="B6" s="4" t="inlineStr">
        <is>
          <t xml:space="preserve">Nadarzynski et al. (2019)</t>
        </is>
      </c>
      <c r="C6" s="5">
        <v>2019</v>
      </c>
      <c r="D6" s="4" t="inlineStr">
        <is>
          <t xml:space="preserve">Acceptability of artificial intelligence (AI)-led chatbot services in healthcare: a mixed-methods study</t>
        </is>
      </c>
      <c r="E6" s="4" t="inlineStr">
        <is>
          <t xml:space="preserve">10.1177/2055207619871808</t>
        </is>
      </c>
      <c r="F6" s="4" t="inlineStr">
        <is>
          <t xml:space="preserve">Generic health chatbot demonstration</t>
        </is>
      </c>
      <c r="G6" s="4" t="inlineStr">
        <is>
          <t xml:space="preserve">General healthcare adoption</t>
        </is>
      </c>
      <c r="H6" s="4" t="inlineStr">
        <is>
          <t xml:space="preserve">United Kingdom</t>
        </is>
      </c>
      <c r="I6" s="4" t="inlineStr">
        <is>
          <t xml:space="preserve">Potential healthcare users</t>
        </is>
      </c>
      <c r="J6" s="4" t="inlineStr">
        <is>
          <t xml:space="preserve">Mixed methods: interviews plus online survey</t>
        </is>
      </c>
      <c r="K6" s="4" t="inlineStr">
        <is>
          <t xml:space="preserve">Mixed methods</t>
        </is>
      </c>
      <c r="L6" s="4" t="inlineStr">
        <is>
          <t xml:space="preserve">29 qualitative interviews; abstract survey N = 216; Results/Table 2 analyzed survey n = 215. Components are separate; participant totals are not pooled.</t>
        </is>
      </c>
      <c r="M6" s="4" t="inlineStr">
        <is>
          <t xml:space="preserve">None</t>
        </is>
      </c>
      <c r="N6" s="4" t="inlineStr">
        <is>
          <t xml:space="preserve">Single interview/survey</t>
        </is>
      </c>
      <c r="O6" s="4" t="inlineStr">
        <is>
          <t xml:space="preserve">Moderate</t>
        </is>
      </c>
      <c r="P6" s="4" t="inlineStr">
        <is>
          <t xml:space="preserve">https://doi.org/10.1177/2055207619871808</t>
        </is>
      </c>
      <c r="Q6" s="4" t="inlineStr">
        <is>
          <t xml:space="preserve">bounded_healthcare_sample</t>
        </is>
      </c>
      <c r="R6" s="4" t="inlineStr">
        <is>
          <t xml:space="preserve">Targeted primary full text recheck, 23 October 2026: Results; quantitative sub-study; Table 2. Scope: 29 interviews; 215 analyzed survey respondents. Abstract mentions 216; the analyzed survey table uses 215. Not a full independent appraisal.</t>
        </is>
      </c>
      <c r="S6" s="4" t="inlineStr">
        <is>
          <t xml:space="preserve">Not documented</t>
        </is>
      </c>
      <c r="T6" s="4" t="inlineStr">
        <is>
          <t xml:space="preserve">Nadarzynski T, Miles O, Cowie A, Ridge D. Acceptability of artificial intelligence-led chatbot services in healthcare: a mixed-methods study. Digit Health. 2019;5:2055207619871808. doi:10.1177/2055207619871808.</t>
        </is>
      </c>
      <c r="U6" s="4" t="inlineStr">
        <is>
          <t xml:space="preserve">[41]</t>
        </is>
      </c>
      <c r="V6" s="4" t="inlineStr">
        <is>
          <t xml:space="preserve">Working inclusion</t>
        </is>
      </c>
    </row>
    <row r="7" ht="112" customHeight="1">
      <c r="A7" s="4" t="inlineStr">
        <is>
          <t xml:space="preserve">S03</t>
        </is>
      </c>
      <c r="B7" s="4" t="inlineStr">
        <is>
          <t xml:space="preserve">Kamita et al. (2019)</t>
        </is>
      </c>
      <c r="C7" s="5">
        <v>2019</v>
      </c>
      <c r="D7" s="4" t="inlineStr">
        <is>
          <t xml:space="preserve">A chatbot system for mental healthcare based on SAT counseling method</t>
        </is>
      </c>
      <c r="E7" s="4" t="inlineStr">
        <is>
          <t xml:space="preserve">10.1155/2019/9517321</t>
        </is>
      </c>
      <c r="F7" s="4" t="inlineStr">
        <is>
          <t xml:space="preserve">SAT counseling chatbot</t>
        </is>
      </c>
      <c r="G7" s="4" t="inlineStr">
        <is>
          <t xml:space="preserve">Mental health</t>
        </is>
      </c>
      <c r="H7" s="4" t="inlineStr">
        <is>
          <t xml:space="preserve">Japan</t>
        </is>
      </c>
      <c r="I7" s="4" t="inlineStr">
        <is>
          <t xml:space="preserve">Adult users</t>
        </is>
      </c>
      <c r="J7" s="4" t="inlineStr">
        <is>
          <t xml:space="preserve">Small randomized comparative experiment</t>
        </is>
      </c>
      <c r="K7" s="4" t="inlineStr">
        <is>
          <t xml:space="preserve">Randomized/comparative intervention</t>
        </is>
      </c>
      <c r="L7" s="4" t="inlineStr">
        <is>
          <t xml:space="preserve">27 college students randomly assigned: chatbot n = 15; web control n = 12; one-session evaluation.</t>
        </is>
      </c>
      <c r="M7" s="4" t="inlineStr">
        <is>
          <t xml:space="preserve">Nonconversational web-based counseling information</t>
        </is>
      </c>
      <c r="N7" s="4" t="inlineStr">
        <is>
          <t xml:space="preserve">Single short-use session</t>
        </is>
      </c>
      <c r="O7" s="4" t="inlineStr">
        <is>
          <t xml:space="preserve">Lower</t>
        </is>
      </c>
      <c r="P7" s="4" t="inlineStr">
        <is>
          <t xml:space="preserve">https://doi.org/10.1155/2019/9517321</t>
        </is>
      </c>
      <c r="Q7" s="4" t="inlineStr">
        <is>
          <t xml:space="preserve">bounded_healthcare_sample</t>
        </is>
      </c>
      <c r="R7" s="4" t="inlineStr">
        <is>
          <t xml:space="preserve">Targeted primary full text in publisher indexed record check, 23 October 2026: Sections 6.2–6.3; Table 3. 27 students randomly assigned 15/12; one-session SAT course; pre/post mental measures and TAM-based user motivation; not longitudinal use. No independent human duplicate assessment.</t>
        </is>
      </c>
      <c r="S7" s="4" t="inlineStr">
        <is>
          <t xml:space="preserve">Not documented</t>
        </is>
      </c>
      <c r="T7" s="4" t="inlineStr">
        <is>
          <t xml:space="preserve">Kamita, T., Ito, T., Matsumoto, A., Munakata, T. and Inoue, T., 2019. A chatbot system for mental healthcare based on SAT counseling method. Mobile Information Systems, 2019(1), p.9517321. https://doi.org/10.1155/2019/9517321</t>
        </is>
      </c>
      <c r="U7" s="4" t="inlineStr">
        <is>
          <t xml:space="preserve">[60]</t>
        </is>
      </c>
      <c r="V7" s="4" t="inlineStr">
        <is>
          <t xml:space="preserve">Working inclusion</t>
        </is>
      </c>
    </row>
    <row r="8" ht="112" customHeight="1">
      <c r="A8" s="4" t="inlineStr">
        <is>
          <t xml:space="preserve">S04</t>
        </is>
      </c>
      <c r="B8" s="4" t="inlineStr">
        <is>
          <t xml:space="preserve">Tielman et al. (2019)</t>
        </is>
      </c>
      <c r="C8" s="5">
        <v>2019</v>
      </c>
      <c r="D8" s="4" t="inlineStr">
        <is>
          <t xml:space="preserve">Considering patient safety in autonomous e-mental health systems—detecting risk situations and referring patients back to human care</t>
        </is>
      </c>
      <c r="E8" s="4" t="inlineStr">
        <is>
          <t xml:space="preserve">10.1186/s12911-019-0796-x</t>
        </is>
      </c>
      <c r="F8" s="4" t="inlineStr">
        <is>
          <t xml:space="preserve">Autonomous e-mental health virtual agent/referral scenarios</t>
        </is>
      </c>
      <c r="G8" s="4" t="inlineStr">
        <is>
          <t xml:space="preserve">Mental health safety and escalation</t>
        </is>
      </c>
      <c r="H8" s="4" t="inlineStr">
        <is>
          <t xml:space="preserve">Netherlands/online international sample</t>
        </is>
      </c>
      <c r="I8" s="4" t="inlineStr">
        <is>
          <t xml:space="preserve">Experts and potential users</t>
        </is>
      </c>
      <c r="J8" s="4" t="inlineStr">
        <is>
          <t xml:space="preserve">Formative qualitative study plus factorial vignette experiment</t>
        </is>
      </c>
      <c r="K8" s="4" t="inlineStr">
        <is>
          <t xml:space="preserve">Mixed methods</t>
        </is>
      </c>
      <c r="L8" s="4" t="inlineStr">
        <is>
          <t xml:space="preserve">Recruited: 8 experts; 229 online participants recruited; randomized: Factorial vignette assignment; completed: 160 online participants included; analyzed: 8 experts; 160 participants</t>
        </is>
      </c>
      <c r="M8" s="4" t="inlineStr">
        <is>
          <t xml:space="preserve">Alternative risk severity, agent response and referral strategies</t>
        </is>
      </c>
      <c r="N8" s="4" t="inlineStr">
        <is>
          <t xml:space="preserve">Single vignette experiment</t>
        </is>
      </c>
      <c r="O8" s="4" t="inlineStr">
        <is>
          <t xml:space="preserve">Moderate</t>
        </is>
      </c>
      <c r="P8" s="4" t="inlineStr">
        <is>
          <t xml:space="preserve">https://doi.org/10.1186/s12911-019-0796-x</t>
        </is>
      </c>
      <c r="Q8" s="4" t="inlineStr">
        <is>
          <t xml:space="preserve">bounded_healthcare_sample</t>
        </is>
      </c>
      <c r="R8" s="4" t="inlineStr">
        <is>
          <t xml:space="preserve">Targeted primary full text recheck, 23 October 2026: Experimental method; dependent measures. Scope: 160 participants in referral-intention experiment; intended self-referral, not verified completed referral. Not a full independent appraisal.</t>
        </is>
      </c>
      <c r="S8" s="4" t="inlineStr">
        <is>
          <t xml:space="preserve">Not documented</t>
        </is>
      </c>
      <c r="T8" s="4" t="inlineStr">
        <is>
          <t xml:space="preserve">Tielman ML, Neerincx MA, Pagliari C, Rizzo A, Brinkman WP. Considering patient safety in autonomous e-mental health systems: detecting risk situations and referring patients back to human care. BMC Med Inform Decis Mak. 2019;19:47. doi:10.1186/s12911-019-0796-x.</t>
        </is>
      </c>
      <c r="U8" s="4" t="inlineStr">
        <is>
          <t xml:space="preserve">[17]</t>
        </is>
      </c>
      <c r="V8" s="4" t="inlineStr">
        <is>
          <t xml:space="preserve">Working inclusion</t>
        </is>
      </c>
    </row>
    <row r="9" ht="112" customHeight="1">
      <c r="A9" s="4" t="inlineStr">
        <is>
          <t xml:space="preserve">S05</t>
        </is>
      </c>
      <c r="B9" s="4" t="inlineStr">
        <is>
          <t xml:space="preserve">Bibault et al. (2019)</t>
        </is>
      </c>
      <c r="C9" s="5">
        <v>2019</v>
      </c>
      <c r="D9" s="4" t="inlineStr">
        <is>
          <t xml:space="preserve">A chatbot versus physicians to provide information for patients with breast cancer: blind, randomized controlled noninferiority trial</t>
        </is>
      </c>
      <c r="E9" s="4" t="inlineStr">
        <is>
          <t xml:space="preserve">10.2196/15787</t>
        </is>
      </c>
      <c r="F9" s="4" t="inlineStr">
        <is>
          <t xml:space="preserve">Vik</t>
        </is>
      </c>
      <c r="G9" s="4" t="inlineStr">
        <is>
          <t xml:space="preserve">Oncology information service</t>
        </is>
      </c>
      <c r="H9" s="4" t="inlineStr">
        <is>
          <t xml:space="preserve">France</t>
        </is>
      </c>
      <c r="I9" s="4" t="inlineStr">
        <is>
          <t xml:space="preserve">Women with breast cancer</t>
        </is>
      </c>
      <c r="J9" s="4" t="inlineStr">
        <is>
          <t xml:space="preserve">Blind randomized noninferiority trial</t>
        </is>
      </c>
      <c r="K9" s="4" t="inlineStr">
        <is>
          <t xml:space="preserve">Randomized/comparative intervention</t>
        </is>
      </c>
      <c r="L9" s="4" t="inlineStr">
        <is>
          <t xml:space="preserve">Recruited: 142; randomized: 142 (71/71); completed: 142; analyzed: 142</t>
        </is>
      </c>
      <c r="M9" s="4" t="inlineStr">
        <is>
          <t xml:space="preserve">Multidisciplinary physicians’ written answers</t>
        </is>
      </c>
      <c r="N9" s="4" t="inlineStr">
        <is>
          <t xml:space="preserve">Single information assessment</t>
        </is>
      </c>
      <c r="O9" s="4" t="inlineStr">
        <is>
          <t xml:space="preserve">Higher</t>
        </is>
      </c>
      <c r="P9" s="4" t="inlineStr">
        <is>
          <t xml:space="preserve">https://doi.org/10.2196/15787</t>
        </is>
      </c>
      <c r="Q9" s="4" t="inlineStr">
        <is>
          <t xml:space="preserve">bounded_healthcare_sample</t>
        </is>
      </c>
      <c r="R9" s="4" t="inlineStr">
        <is>
          <t xml:space="preserve">Targeted primary full text recheck, 23 October 2026: Methods: Procedures/Outcomes; Results. Scope: 142 randomized 71/71; overall information-satisfaction noninferiority with 10% margin, 69% versus 64% success; predefined prechecked answers. Not a full independent appraisal.</t>
        </is>
      </c>
      <c r="S9" s="4" t="inlineStr">
        <is>
          <t xml:space="preserve">Not documented</t>
        </is>
      </c>
      <c r="T9" s="4" t="inlineStr">
        <is>
          <t xml:space="preserve">Bibault JE, Chaix B, Guillemassé A, et al. A chatbot versus physicians to provide information for patients with breast cancer: blind, randomized controlled noninferiority trial. J Med Internet Res. 2019;21(11):e15787. doi:10.2196/15787.</t>
        </is>
      </c>
      <c r="U9" s="4" t="inlineStr">
        <is>
          <t xml:space="preserve">[66]</t>
        </is>
      </c>
      <c r="V9" s="4" t="inlineStr">
        <is>
          <t xml:space="preserve">Working inclusion</t>
        </is>
      </c>
    </row>
    <row r="10" ht="112" customHeight="1">
      <c r="A10" s="4" t="inlineStr">
        <is>
          <t xml:space="preserve">S06</t>
        </is>
      </c>
      <c r="B10" s="4" t="inlineStr">
        <is>
          <t xml:space="preserve">Kocaballi et al. (2020)</t>
        </is>
      </c>
      <c r="C10" s="5">
        <v>2020</v>
      </c>
      <c r="D10" s="4" t="inlineStr">
        <is>
          <t xml:space="preserve">Responses of conversational agents to health and lifestyle prompts: investigation of appropriateness and presentation structures</t>
        </is>
      </c>
      <c r="E10" s="4" t="inlineStr">
        <is>
          <t xml:space="preserve">10.2196/15823</t>
        </is>
      </c>
      <c r="F10" s="4" t="inlineStr">
        <is>
          <t xml:space="preserve">Eight commercially available conversational agents</t>
        </is>
      </c>
      <c r="G10" s="4" t="inlineStr">
        <is>
          <t xml:space="preserve">Medical information and safety</t>
        </is>
      </c>
      <c r="H10" s="4" t="inlineStr">
        <is>
          <t xml:space="preserve">Australia-based research; global products</t>
        </is>
      </c>
      <c r="I10" s="4" t="inlineStr">
        <is>
          <t xml:space="preserve">Potential consumers</t>
        </is>
      </c>
      <c r="J10" s="4" t="inlineStr">
        <is>
          <t xml:space="preserve">Content/response evaluation</t>
        </is>
      </c>
      <c r="K10" s="4" t="inlineStr">
        <is>
          <t xml:space="preserve">Content/technical evaluation</t>
        </is>
      </c>
      <c r="L10" s="4" t="inlineStr">
        <is>
          <t xml:space="preserve">Recruited: 30 prompts; randomized: N/A; completed: 240 agent responses; analyzed: 240 responses</t>
        </is>
      </c>
      <c r="M10" s="4" t="inlineStr">
        <is>
          <t xml:space="preserve">Across agents and prompt categories</t>
        </is>
      </c>
      <c r="N10" s="4" t="inlineStr">
        <is>
          <t xml:space="preserve">Point-in-time test</t>
        </is>
      </c>
      <c r="O10" s="4" t="inlineStr">
        <is>
          <t xml:space="preserve">Moderate</t>
        </is>
      </c>
      <c r="P10" s="4" t="inlineStr">
        <is>
          <t xml:space="preserve">https://doi.org/10.2196/15823</t>
        </is>
      </c>
      <c r="Q10" s="4" t="inlineStr">
        <is>
          <t xml:space="preserve">contextual_assistant_benchmark</t>
        </is>
      </c>
      <c r="R10" s="4" t="inlineStr">
        <is>
          <t xml:space="preserve">Targeted primary-source check in this revision</t>
        </is>
      </c>
      <c r="S10" s="4" t="inlineStr">
        <is>
          <t xml:space="preserve">Not documented</t>
        </is>
      </c>
      <c r="T10" s="4" t="inlineStr">
        <is>
          <t xml:space="preserve">Kocaballi AB, Quiroz JC, Rezazadegan D, et al. Responses of conversational agents to health and lifestyle prompts: investigation of appropriateness and presentation structures. J Med Internet Res. 2020;22(2):e15823. doi:10.2196/15823.</t>
        </is>
      </c>
      <c r="U10" s="4" t="inlineStr">
        <is>
          <t xml:space="preserve">[3]</t>
        </is>
      </c>
      <c r="V10" s="4" t="inlineStr">
        <is>
          <t xml:space="preserve">Working inclusion</t>
        </is>
      </c>
    </row>
    <row r="11" ht="112" customHeight="1">
      <c r="A11" s="4" t="inlineStr">
        <is>
          <t xml:space="preserve">S07</t>
        </is>
      </c>
      <c r="B11" s="4" t="inlineStr">
        <is>
          <t xml:space="preserve">Ferrand et al. (2020)</t>
        </is>
      </c>
      <c r="C11" s="5">
        <v>2020</v>
      </c>
      <c r="D11" s="4" t="inlineStr">
        <is>
          <t xml:space="preserve">Evaluating smart assistant responses for accuracy and misinformation regarding human papillomavirus vaccination: content analysis study</t>
        </is>
      </c>
      <c r="E11" s="4" t="inlineStr">
        <is>
          <t xml:space="preserve">10.2196/19018</t>
        </is>
      </c>
      <c r="F11" s="4" t="inlineStr">
        <is>
          <t xml:space="preserve">Four smart assistants</t>
        </is>
      </c>
      <c r="G11" s="4" t="inlineStr">
        <is>
          <t xml:space="preserve">Vaccination information</t>
        </is>
      </c>
      <c r="H11" s="4" t="inlineStr">
        <is>
          <t xml:space="preserve">United States</t>
        </is>
      </c>
      <c r="I11" s="4" t="inlineStr">
        <is>
          <t xml:space="preserve">Potential consumers</t>
        </is>
      </c>
      <c r="J11" s="4" t="inlineStr">
        <is>
          <t xml:space="preserve">Content analysis</t>
        </is>
      </c>
      <c r="K11" s="4" t="inlineStr">
        <is>
          <t xml:space="preserve">Content/technical evaluation</t>
        </is>
      </c>
      <c r="L11" s="4" t="inlineStr">
        <is>
          <t xml:space="preserve">Recruited: 10 questions across four assistants; randomized: N/A; completed: 103 analyzable responses; analyzed: 103 responses</t>
        </is>
      </c>
      <c r="M11" s="4" t="inlineStr">
        <is>
          <t xml:space="preserve">Across assistants/questions</t>
        </is>
      </c>
      <c r="N11" s="4" t="inlineStr">
        <is>
          <t xml:space="preserve">Point-in-time test</t>
        </is>
      </c>
      <c r="O11" s="4" t="inlineStr">
        <is>
          <t xml:space="preserve">Moderate</t>
        </is>
      </c>
      <c r="P11" s="4" t="inlineStr">
        <is>
          <t xml:space="preserve">https://doi.org/10.2196/19018</t>
        </is>
      </c>
      <c r="Q11" s="4" t="inlineStr">
        <is>
          <t xml:space="preserve">contextual_assistant_benchmark</t>
        </is>
      </c>
      <c r="R11" s="4" t="inlineStr">
        <is>
          <t xml:space="preserve">Targeted primary-source check in this revision</t>
        </is>
      </c>
      <c r="S11" s="4" t="inlineStr">
        <is>
          <t xml:space="preserve">Not documented</t>
        </is>
      </c>
      <c r="T11" s="4" t="inlineStr">
        <is>
          <t xml:space="preserve">Ferrand J, Hockensmith R, Houghton RF, Walsh-Buhi ER. Evaluating smart assistant responses for accuracy and misinformation regarding human papillomavirus vaccination: content analysis study. J Med Internet Res. 2020;22(8):e19018. doi:10.2196/19018.</t>
        </is>
      </c>
      <c r="U11" s="4" t="inlineStr">
        <is>
          <t xml:space="preserve">[58]</t>
        </is>
      </c>
      <c r="V11" s="4" t="inlineStr">
        <is>
          <t xml:space="preserve">Working inclusion</t>
        </is>
      </c>
    </row>
    <row r="12" ht="99" customHeight="1">
      <c r="A12" s="4" t="inlineStr">
        <is>
          <t xml:space="preserve">S08</t>
        </is>
      </c>
      <c r="B12" s="4" t="inlineStr">
        <is>
          <t xml:space="preserve">Koman et al. (2020)</t>
        </is>
      </c>
      <c r="C12" s="5">
        <v>2020</v>
      </c>
      <c r="D12" s="4" t="inlineStr">
        <is>
          <t xml:space="preserve">Physicians’ perceptions of the use of a chatbot for information seeking: qualitative study</t>
        </is>
      </c>
      <c r="E12" s="4" t="inlineStr">
        <is>
          <t xml:space="preserve">10.2196/15185</t>
        </is>
      </c>
      <c r="F12" s="4" t="inlineStr">
        <is>
          <t xml:space="preserve">Information-seeking chatbot prototype</t>
        </is>
      </c>
      <c r="G12" s="4" t="inlineStr">
        <is>
          <t xml:space="preserve">Professional medical information</t>
        </is>
      </c>
      <c r="H12" s="4" t="inlineStr">
        <is>
          <t xml:space="preserve">France</t>
        </is>
      </c>
      <c r="I12" s="4" t="inlineStr">
        <is>
          <t xml:space="preserve">Physicians</t>
        </is>
      </c>
      <c r="J12" s="4" t="inlineStr">
        <is>
          <t xml:space="preserve">Qualitative interviews</t>
        </is>
      </c>
      <c r="K12" s="4" t="inlineStr">
        <is>
          <t xml:space="preserve">Qualitative</t>
        </is>
      </c>
      <c r="L12" s="4" t="inlineStr">
        <is>
          <t xml:space="preserve">Recruited: 10; randomized: N/A; completed: 10; analyzed: 8 general practitioners; 2 specialists</t>
        </is>
      </c>
      <c r="M12" s="4" t="inlineStr">
        <is>
          <t xml:space="preserve">None</t>
        </is>
      </c>
      <c r="N12" s="4" t="inlineStr">
        <is>
          <t xml:space="preserve">Single demonstration and interview</t>
        </is>
      </c>
      <c r="O12" s="4" t="inlineStr">
        <is>
          <t xml:space="preserve">Moderate</t>
        </is>
      </c>
      <c r="P12" s="4" t="inlineStr">
        <is>
          <t xml:space="preserve">https://doi.org/10.2196/15185</t>
        </is>
      </c>
      <c r="Q12" s="4" t="inlineStr">
        <is>
          <t xml:space="preserve">bounded_healthcare_sample</t>
        </is>
      </c>
      <c r="R12" s="4" t="inlineStr">
        <is>
          <t xml:space="preserve">Targeted primary full text recheck, 23 October 2026: Results: Demographics; Discussion. Scope: 10 French healthcare professionals interviewed about information-seeking chatbot; qualitative user evidence. Not a full independent appraisal.</t>
        </is>
      </c>
      <c r="S12" s="4" t="inlineStr">
        <is>
          <t xml:space="preserve">Not documented</t>
        </is>
      </c>
      <c r="T12" s="4" t="inlineStr">
        <is>
          <t xml:space="preserve">Koman J, Fauvelle K, Schuck S, Texier N, Mebarki A. Physicians’ perceptions of the use of a chatbot for information seeking: qualitative study. J Med Internet Res. 2020;22(11):e15185. doi:10.2196/15185.</t>
        </is>
      </c>
      <c r="U12" s="4" t="inlineStr">
        <is>
          <t xml:space="preserve">[18]</t>
        </is>
      </c>
      <c r="V12" s="4" t="inlineStr">
        <is>
          <t xml:space="preserve">Working inclusion</t>
        </is>
      </c>
    </row>
    <row r="13" ht="112" customHeight="1">
      <c r="A13" s="4" t="inlineStr">
        <is>
          <t xml:space="preserve">S09</t>
        </is>
      </c>
      <c r="B13" s="4" t="inlineStr">
        <is>
          <t xml:space="preserve">Daley et al. (2020)</t>
        </is>
      </c>
      <c r="C13" s="5">
        <v>2020</v>
      </c>
      <c r="D13" s="4" t="inlineStr">
        <is>
          <t xml:space="preserve">Preliminary evaluation of the engagement and effectiveness of a mental health chatbot</t>
        </is>
      </c>
      <c r="E13" s="4" t="inlineStr">
        <is>
          <t xml:space="preserve">10.3389/fdgth.2020.576361</t>
        </is>
      </c>
      <c r="F13" s="4" t="inlineStr">
        <is>
          <t xml:space="preserve">Vitalk (Viki)</t>
        </is>
      </c>
      <c r="G13" s="4" t="inlineStr">
        <is>
          <t xml:space="preserve">Mental health</t>
        </is>
      </c>
      <c r="H13" s="4" t="inlineStr">
        <is>
          <t xml:space="preserve">Brazil</t>
        </is>
      </c>
      <c r="I13" s="4" t="inlineStr">
        <is>
          <t xml:space="preserve">Adult Portuguese-speaking users</t>
        </is>
      </c>
      <c r="J13" s="4" t="inlineStr">
        <is>
          <t xml:space="preserve">Uncontrolled real-world pre-post analysis</t>
        </is>
      </c>
      <c r="K13" s="4" t="inlineStr">
        <is>
          <t xml:space="preserve">Single-arm/pre-post intervention</t>
        </is>
      </c>
      <c r="L13" s="4" t="inlineStr">
        <is>
          <t xml:space="preserve">Retrospective completer cohort: 3,629 users completed the first 30-day program phase and were analyzed. Initial recruitment or installation denominator: not reported; not inferred from the completer cohort. No randomization.</t>
        </is>
      </c>
      <c r="M13" s="4" t="inlineStr">
        <is>
          <t xml:space="preserve">None</t>
        </is>
      </c>
      <c r="N13" s="4" t="inlineStr">
        <is>
          <t xml:space="preserve">30-day first program phase</t>
        </is>
      </c>
      <c r="O13" s="4" t="inlineStr">
        <is>
          <t xml:space="preserve">Lower</t>
        </is>
      </c>
      <c r="P13" s="4" t="inlineStr">
        <is>
          <t xml:space="preserve">https://doi.org/10.3389/fdgth.2020.576361</t>
        </is>
      </c>
      <c r="Q13" s="4" t="inlineStr">
        <is>
          <t xml:space="preserve">bounded_healthcare_sample</t>
        </is>
      </c>
      <c r="R13" s="4" t="inlineStr">
        <is>
          <t xml:space="preserve">Primary full text rechecked on 23 October 2026; 3,629 first-phase completers analyzed, not an enrollment denominator. Initial recruitment population not reported.</t>
        </is>
      </c>
      <c r="S13" s="4" t="inlineStr">
        <is>
          <t xml:space="preserve">Not documented</t>
        </is>
      </c>
      <c r="T13" s="4" t="inlineStr">
        <is>
          <t xml:space="preserve">Daley, K., Hungerbuehler, I., Cavanagh, K., Claro, H.G., Swinton, P.A. and Kapps, M., 2020. Preliminary evaluation of the engagement and effectiveness of a mental health chatbot. Frontiers in Digital Health, 2, 576361. https://doi.org/10.3389/fdgth.2020.576361</t>
        </is>
      </c>
      <c r="U13" s="4" t="inlineStr">
        <is>
          <t xml:space="preserve">[68]</t>
        </is>
      </c>
      <c r="V13" s="4" t="inlineStr">
        <is>
          <t xml:space="preserve">Working inclusion</t>
        </is>
      </c>
    </row>
    <row r="14" ht="125" customHeight="1">
      <c r="A14" s="4" t="inlineStr">
        <is>
          <t xml:space="preserve">S10</t>
        </is>
      </c>
      <c r="B14" s="4" t="inlineStr">
        <is>
          <t xml:space="preserve">Cheng and Jiang (2020)</t>
        </is>
      </c>
      <c r="C14" s="5">
        <v>2020</v>
      </c>
      <c r="D14" s="4" t="inlineStr">
        <is>
          <t xml:space="preserve">AI-powered mental health chatbots: examining users’ motivations, active communicative action and engagement after mass-shooting disasters</t>
        </is>
      </c>
      <c r="E14" s="4" t="inlineStr">
        <is>
          <t xml:space="preserve">10.1111/1468-5973.12319</t>
        </is>
      </c>
      <c r="F14" s="4" t="inlineStr">
        <is>
          <t xml:space="preserve">AI-powered mental-health chatbot services</t>
        </is>
      </c>
      <c r="G14" s="4" t="inlineStr">
        <is>
          <t xml:space="preserve">Mental health/crisis communication</t>
        </is>
      </c>
      <c r="H14" s="4" t="inlineStr">
        <is>
          <t xml:space="preserve">United States</t>
        </is>
      </c>
      <c r="I14" s="4" t="inlineStr">
        <is>
          <t xml:space="preserve">Chatbot users</t>
        </is>
      </c>
      <c r="J14" s="4" t="inlineStr">
        <is>
          <t xml:space="preserve">Cross-sectional survey</t>
        </is>
      </c>
      <c r="K14" s="4" t="inlineStr">
        <is>
          <t xml:space="preserve">Survey/observational</t>
        </is>
      </c>
      <c r="L14" s="4" t="inlineStr">
        <is>
          <t xml:space="preserve">Recruited: 1,114; randomized: N/A; completed: 1,114; analyzed: 1,114</t>
        </is>
      </c>
      <c r="M14" s="4" t="inlineStr">
        <is>
          <t xml:space="preserve">None</t>
        </is>
      </c>
      <c r="N14" s="4" t="inlineStr">
        <is>
          <t xml:space="preserve">Single survey</t>
        </is>
      </c>
      <c r="O14" s="4" t="inlineStr">
        <is>
          <t xml:space="preserve">Moderate</t>
        </is>
      </c>
      <c r="P14" s="4" t="inlineStr">
        <is>
          <t xml:space="preserve">https://doi.org/10.1111/1468-5973.12319</t>
        </is>
      </c>
      <c r="Q14" s="4" t="inlineStr">
        <is>
          <t xml:space="preserve">bounded_healthcare_sample</t>
        </is>
      </c>
      <c r="R14" s="4" t="inlineStr">
        <is>
          <t xml:space="preserve">Targeted primary abstract recheck, 23 October 2026: Abstract. Scope: 1114 US participants surveyed; motivation, communication and engagement associations. Detailed attrition not re-extracted. Not a full independent appraisal.</t>
        </is>
      </c>
      <c r="S14" s="4" t="inlineStr">
        <is>
          <t xml:space="preserve">Not documented</t>
        </is>
      </c>
      <c r="T14" s="4" t="inlineStr">
        <is>
          <t xml:space="preserve">Cheng, Y. and Jiang, H., 2020. AI‐Powered mental health chatbots: Examining users’ motivations, active communicative action and engagement after mass‐shooting disasters. Journal of Contingencies and Crisis Management, 28(3), pp.339-354. https://doi.org/10.1111/1468-5973.12319</t>
        </is>
      </c>
      <c r="U14" s="4" t="inlineStr">
        <is>
          <t xml:space="preserve">[61]</t>
        </is>
      </c>
      <c r="V14" s="4" t="inlineStr">
        <is>
          <t xml:space="preserve">Working inclusion</t>
        </is>
      </c>
    </row>
    <row r="15" ht="99" customHeight="1">
      <c r="A15" s="4" t="inlineStr">
        <is>
          <t xml:space="preserve">S11</t>
        </is>
      </c>
      <c r="B15" s="4" t="inlineStr">
        <is>
          <t xml:space="preserve">Judson et al. (2020)</t>
        </is>
      </c>
      <c r="C15" s="5">
        <v>2020</v>
      </c>
      <c r="D15" s="4" t="inlineStr">
        <is>
          <t xml:space="preserve">Implementation of a digital chatbot to screen health system employees during the COVID-19 pandemic</t>
        </is>
      </c>
      <c r="E15" s="4" t="inlineStr">
        <is>
          <t xml:space="preserve">10.1093/jamia/ocaa130</t>
        </is>
      </c>
      <c r="F15" s="4" t="inlineStr">
        <is>
          <t xml:space="preserve">COVID-19 employee screening chatbot</t>
        </is>
      </c>
      <c r="G15" s="4" t="inlineStr">
        <is>
          <t xml:space="preserve">Public health/occupational screening</t>
        </is>
      </c>
      <c r="H15" s="4" t="inlineStr">
        <is>
          <t xml:space="preserve">United States</t>
        </is>
      </c>
      <c r="I15" s="4" t="inlineStr">
        <is>
          <t xml:space="preserve">Health-system employees and occupational-health teams</t>
        </is>
      </c>
      <c r="J15" s="4" t="inlineStr">
        <is>
          <t xml:space="preserve">Implementation case study</t>
        </is>
      </c>
      <c r="K15" s="4" t="inlineStr">
        <is>
          <t xml:space="preserve">Implementation/technical evaluation</t>
        </is>
      </c>
      <c r="L15" s="4" t="inlineStr">
        <is>
          <t xml:space="preserve">Operational deployment; direct entrance-clearance timing: manual n = 28, digital n = 20. Mean clearance 48 versus 8 seconds; peak-shift mean queue 8 minutes 20 seconds versus 1 minute 40 seconds.</t>
        </is>
      </c>
      <c r="M15" s="4" t="inlineStr">
        <is>
          <t xml:space="preserve">Nonrandomized manual-versus-digital entrance-clearance comparison; peak-shift queue comparison during implementation.</t>
        </is>
      </c>
      <c r="N15" s="4" t="inlineStr">
        <is>
          <t xml:space="preserve">Initial pandemic deployment period</t>
        </is>
      </c>
      <c r="O15" s="4" t="inlineStr">
        <is>
          <t xml:space="preserve">Moderate</t>
        </is>
      </c>
      <c r="P15" s="4" t="inlineStr">
        <is>
          <t xml:space="preserve">https://doi.org/10.1093/jamia/ocaa130</t>
        </is>
      </c>
      <c r="Q15" s="4" t="inlineStr">
        <is>
          <t xml:space="preserve">bounded_healthcare_sample</t>
        </is>
      </c>
      <c r="R15" s="4" t="inlineStr">
        <is>
          <t xml:space="preserve">Targeted primary full-text recheck, 23 October 2026: Results: Impact on Operations; Discussion: limitations. This is not independent duplicate human extraction.</t>
        </is>
      </c>
      <c r="S15" s="4" t="inlineStr">
        <is>
          <t xml:space="preserve">Not documented</t>
        </is>
      </c>
      <c r="T15" s="4" t="inlineStr">
        <is>
          <t xml:space="preserve">Judson TJ, Odisho AY, Young JJ, et al. Implementation of a digital chatbot to screen health system employees during the COVID-19 pandemic. J Am Med Inform Assoc. 2020;27(9):1450-1455. doi:10.1093/jamia/ocaa130.</t>
        </is>
      </c>
      <c r="U15" s="4" t="inlineStr">
        <is>
          <t xml:space="preserve">[38]</t>
        </is>
      </c>
      <c r="V15" s="4" t="inlineStr">
        <is>
          <t xml:space="preserve">Working inclusion</t>
        </is>
      </c>
    </row>
    <row r="16" ht="138" customHeight="1">
      <c r="A16" s="4" t="inlineStr">
        <is>
          <t xml:space="preserve">S12</t>
        </is>
      </c>
      <c r="B16" s="4" t="inlineStr">
        <is>
          <t xml:space="preserve">Prochaska et al. (2021)</t>
        </is>
      </c>
      <c r="C16" s="5">
        <v>2021</v>
      </c>
      <c r="D16" s="4" t="inlineStr">
        <is>
          <t xml:space="preserve">A therapeutic relational agent for reducing problematic substance use (Woebot): development and usability study</t>
        </is>
      </c>
      <c r="E16" s="4" t="inlineStr">
        <is>
          <t xml:space="preserve">10.2196/24850</t>
        </is>
      </c>
      <c r="F16" s="4" t="inlineStr">
        <is>
          <t xml:space="preserve">Woebot for Substance Use Disorders (W-SUDs)</t>
        </is>
      </c>
      <c r="G16" s="4" t="inlineStr">
        <is>
          <t xml:space="preserve">Mental health/substance use</t>
        </is>
      </c>
      <c r="H16" s="4" t="inlineStr">
        <is>
          <t xml:space="preserve">United States</t>
        </is>
      </c>
      <c r="I16" s="4" t="inlineStr">
        <is>
          <t xml:space="preserve">Adults with problematic substance use</t>
        </is>
      </c>
      <c r="J16" s="4" t="inlineStr">
        <is>
          <t xml:space="preserve">Single-group pre-post intervention</t>
        </is>
      </c>
      <c r="K16" s="4" t="inlineStr">
        <is>
          <t xml:space="preserve">Single-arm/pre-post intervention</t>
        </is>
      </c>
      <c r="L16" s="4" t="inlineStr">
        <is>
          <t xml:space="preserve">Recruited: 3,597 screened; 141 consented; 128 baseline; randomized: N/A; completed: 51 posttreatment respondents; analyzed: 101 analytic sample</t>
        </is>
      </c>
      <c r="M16" s="4" t="inlineStr">
        <is>
          <t xml:space="preserve">None</t>
        </is>
      </c>
      <c r="N16" s="4" t="inlineStr">
        <is>
          <t xml:space="preserve">8 weeks</t>
        </is>
      </c>
      <c r="O16" s="4" t="inlineStr">
        <is>
          <t xml:space="preserve">Lower</t>
        </is>
      </c>
      <c r="P16" s="4" t="inlineStr">
        <is>
          <t xml:space="preserve">https://doi.org/10.2196/24850</t>
        </is>
      </c>
      <c r="Q16" s="4" t="inlineStr">
        <is>
          <t xml:space="preserve">bounded_healthcare_sample</t>
        </is>
      </c>
      <c r="R16" s="4" t="inlineStr">
        <is>
          <t xml:space="preserve">Targeted primary full text recheck, 23 October 2026: Abstract; Results: Sample; Table 1. Scope: 101 analytic participants; 51 posttreatment respondents; eight-week single-group intervention with usability and symptom endpoints. Not a full independent appraisal.</t>
        </is>
      </c>
      <c r="S16" s="4" t="inlineStr">
        <is>
          <t xml:space="preserve">Not documented</t>
        </is>
      </c>
      <c r="T16" s="4" t="inlineStr">
        <is>
          <t xml:space="preserve">Prochaska, J.J., Vogel, E.A., Chieng, A., Kendra, M., Baiocchi, M., Pajarito, S. and Robinson, A., 2021. A therapeutic relational agent for reducing problematic substance use (Woebot): development and usability study. Journal of medical Internet research, 23(3), p.e24850. https://doi.org/10.2196/24850</t>
        </is>
      </c>
      <c r="U16" s="4" t="inlineStr">
        <is>
          <t xml:space="preserve">[7]</t>
        </is>
      </c>
      <c r="V16" s="4" t="inlineStr">
        <is>
          <t xml:space="preserve">Working inclusion</t>
        </is>
      </c>
    </row>
    <row r="17" ht="112" customHeight="1">
      <c r="A17" s="4" t="inlineStr">
        <is>
          <t xml:space="preserve">S13</t>
        </is>
      </c>
      <c r="B17" s="4" t="inlineStr">
        <is>
          <t xml:space="preserve">Fan et al. (2021)</t>
        </is>
      </c>
      <c r="C17" s="5">
        <v>2021</v>
      </c>
      <c r="D17" s="4" t="inlineStr">
        <is>
          <t xml:space="preserve">Utilization of self-diagnosis health chatbots in real-world settings: case study</t>
        </is>
      </c>
      <c r="E17" s="4" t="inlineStr">
        <is>
          <t xml:space="preserve">10.2196/19928</t>
        </is>
      </c>
      <c r="F17" s="4" t="inlineStr">
        <is>
          <t xml:space="preserve">DoctorBot</t>
        </is>
      </c>
      <c r="G17" s="4" t="inlineStr">
        <is>
          <t xml:space="preserve">Medical information/self-diagnosis</t>
        </is>
      </c>
      <c r="H17" s="4" t="inlineStr">
        <is>
          <t xml:space="preserve">China</t>
        </is>
      </c>
      <c r="I17" s="4" t="inlineStr">
        <is>
          <t xml:space="preserve">Public users</t>
        </is>
      </c>
      <c r="J17" s="4" t="inlineStr">
        <is>
          <t xml:space="preserve">Retrospective real-world case study</t>
        </is>
      </c>
      <c r="K17" s="4" t="inlineStr">
        <is>
          <t xml:space="preserve">Survey/observational</t>
        </is>
      </c>
      <c r="L17" s="4" t="inlineStr">
        <is>
          <t xml:space="preserve">Recruited: 16,519 users; randomized: N/A; completed: 47,684 consultation sessions; analyzed: 16,519 users / 47,684 sessions</t>
        </is>
      </c>
      <c r="M17" s="4" t="inlineStr">
        <is>
          <t xml:space="preserve">None</t>
        </is>
      </c>
      <c r="N17" s="4" t="inlineStr">
        <is>
          <t xml:space="preserve">6 months</t>
        </is>
      </c>
      <c r="O17" s="4" t="inlineStr">
        <is>
          <t xml:space="preserve">Moderate</t>
        </is>
      </c>
      <c r="P17" s="4" t="inlineStr">
        <is>
          <t xml:space="preserve">https://doi.org/10.2196/19928</t>
        </is>
      </c>
      <c r="Q17" s="4" t="inlineStr">
        <is>
          <t xml:space="preserve">bounded_healthcare_sample</t>
        </is>
      </c>
      <c r="R17" s="4" t="inlineStr">
        <is>
          <t xml:space="preserve">Targeted primary full text recheck, 23 October 2026: Methods; Results: Utilization. Scope: 16,519 users and 47,684 consultations over six months; usage outcomes do not establish clinical accuracy. Not a full independent appraisal.</t>
        </is>
      </c>
      <c r="S17" s="4" t="inlineStr">
        <is>
          <t xml:space="preserve">Not documented</t>
        </is>
      </c>
      <c r="T17" s="4" t="inlineStr">
        <is>
          <t xml:space="preserve">Fan, X., Chao, D., Zhang, Z., Wang, D., Li, X. and Tian, F., 2021. Utilization of self-diagnosis health chatbots in real-world settings: case study. Journal of medical Internet research, 23(1), p.e19928. https://doi.org/10.2196/19928</t>
        </is>
      </c>
      <c r="U17" s="4" t="inlineStr">
        <is>
          <t xml:space="preserve">[4]</t>
        </is>
      </c>
      <c r="V17" s="4" t="inlineStr">
        <is>
          <t xml:space="preserve">Working inclusion</t>
        </is>
      </c>
    </row>
    <row r="18" ht="164" customHeight="1">
      <c r="A18" s="4" t="inlineStr">
        <is>
          <t xml:space="preserve">S14</t>
        </is>
      </c>
      <c r="B18" s="4" t="inlineStr">
        <is>
          <t xml:space="preserve">Sweeney et al. (2021)</t>
        </is>
      </c>
      <c r="C18" s="5">
        <v>2021</v>
      </c>
      <c r="D18" s="4" t="inlineStr">
        <is>
          <t xml:space="preserve">Can chatbots help support a person’s mental health? Perceptions and views from mental healthcare professionals and experts</t>
        </is>
      </c>
      <c r="E18" s="4" t="inlineStr">
        <is>
          <t xml:space="preserve">10.1145/3453175</t>
        </is>
      </c>
      <c r="F18" s="4" t="inlineStr">
        <is>
          <t xml:space="preserve">Generic mental-health chatbots</t>
        </is>
      </c>
      <c r="G18" s="4" t="inlineStr">
        <is>
          <t xml:space="preserve">Mental health service implementation</t>
        </is>
      </c>
      <c r="H18" s="4" t="inlineStr">
        <is>
          <t xml:space="preserve">Northern Ireland, Ireland, Scotland, Sweden and Finland</t>
        </is>
      </c>
      <c r="I18" s="4" t="inlineStr">
        <is>
          <t xml:space="preserve">Mental-health professionals and experts</t>
        </is>
      </c>
      <c r="J18" s="4" t="inlineStr">
        <is>
          <t xml:space="preserve">Cross-sectional survey</t>
        </is>
      </c>
      <c r="K18" s="4" t="inlineStr">
        <is>
          <t xml:space="preserve">Survey/observational</t>
        </is>
      </c>
      <c r="L18" s="4" t="inlineStr">
        <is>
          <t xml:space="preserve">Recruited: 100; randomized: N/A; completed: 100; analyzed: 100</t>
        </is>
      </c>
      <c r="M18" s="4" t="inlineStr">
        <is>
          <t xml:space="preserve">None</t>
        </is>
      </c>
      <c r="N18" s="4" t="inlineStr">
        <is>
          <t xml:space="preserve">Single survey</t>
        </is>
      </c>
      <c r="O18" s="4" t="inlineStr">
        <is>
          <t xml:space="preserve">Moderate</t>
        </is>
      </c>
      <c r="P18" s="4" t="inlineStr">
        <is>
          <t xml:space="preserve">https://doi.org/10.1145/3453175</t>
        </is>
      </c>
      <c r="Q18" s="4" t="inlineStr">
        <is>
          <t xml:space="preserve">bounded_healthcare_sample</t>
        </is>
      </c>
      <c r="R18" s="4" t="inlineStr">
        <is>
          <t xml:space="preserve">Targeted author-institution-hosted primary abstract check, 23 October 2026: Abstract. Online survey of mental healthcare professionals and experts; attitudes/perceptions, not a qualitative interview study or observed clinical effect. The inherited n = 100 was not separately re-extracted from full text here. No independent human duplicate assessment.</t>
        </is>
      </c>
      <c r="S18" s="4" t="inlineStr">
        <is>
          <t xml:space="preserve">Not documented</t>
        </is>
      </c>
      <c r="T18" s="4" t="inlineStr">
        <is>
          <t xml:space="preserve">Sweeney, C., Potts, C., Ennis, E., Bond, R., Mulvenna, M.D., O’neill, S., Malcolm, M., Kuosmanen, L., Kostenius, C., Vakaloudis, A. and Mcconvey, G., 2021. Can chatbots help support a person’s mental health? Perceptions and views from mental healthcare professionals and experts. ACM Transactions on Computing for Healthcare, 2(3), pp.1-15. https://doi.org/10.1145/3453175</t>
        </is>
      </c>
      <c r="U18" s="4" t="inlineStr">
        <is>
          <t xml:space="preserve">[16]</t>
        </is>
      </c>
      <c r="V18" s="4" t="inlineStr">
        <is>
          <t xml:space="preserve">Working inclusion</t>
        </is>
      </c>
    </row>
    <row r="19" ht="151" customHeight="1">
      <c r="A19" s="4" t="inlineStr">
        <is>
          <t xml:space="preserve">S15</t>
        </is>
      </c>
      <c r="B19" s="4" t="inlineStr">
        <is>
          <t xml:space="preserve">Rahman et al. (2021)</t>
        </is>
      </c>
      <c r="C19" s="5">
        <v>2021</v>
      </c>
      <c r="D19" s="4" t="inlineStr">
        <is>
          <t xml:space="preserve">AdolescentBot: understanding opportunities for chatbots in combating adolescent sexual and reproductive health problems in Bangladesh</t>
        </is>
      </c>
      <c r="E19" s="4" t="inlineStr">
        <is>
          <t xml:space="preserve">10.1145/3411764.3445694</t>
        </is>
      </c>
      <c r="F19" s="4" t="inlineStr">
        <is>
          <t xml:space="preserve">AdolescentBot</t>
        </is>
      </c>
      <c r="G19" s="4" t="inlineStr">
        <is>
          <t xml:space="preserve">Public health/sexual and reproductive health</t>
        </is>
      </c>
      <c r="H19" s="4" t="inlineStr">
        <is>
          <t xml:space="preserve">Bangladesh</t>
        </is>
      </c>
      <c r="I19" s="4" t="inlineStr">
        <is>
          <t xml:space="preserve">Adolescents and medical personnel</t>
        </is>
      </c>
      <c r="J19" s="4" t="inlineStr">
        <is>
          <t xml:space="preserve">Mixed-method formative HCI study</t>
        </is>
      </c>
      <c r="K19" s="4" t="inlineStr">
        <is>
          <t xml:space="preserve">Mixed methods</t>
        </is>
      </c>
      <c r="L19" s="4" t="inlineStr">
        <is>
          <t xml:space="preserve">256 participants/responses across adolescents and medical personnel; component-specific populations not independently re-extracted.</t>
        </is>
      </c>
      <c r="M19" s="4" t="inlineStr">
        <is>
          <t xml:space="preserve">None</t>
        </is>
      </c>
      <c r="N19" s="4" t="inlineStr">
        <is>
          <t xml:space="preserve">Formative/prototype study</t>
        </is>
      </c>
      <c r="O19" s="4" t="inlineStr">
        <is>
          <t xml:space="preserve">Moderate</t>
        </is>
      </c>
      <c r="P19" s="4" t="inlineStr">
        <is>
          <t xml:space="preserve">https://doi.org/10.1145/3411764.3445694</t>
        </is>
      </c>
      <c r="Q19" s="4" t="inlineStr">
        <is>
          <t xml:space="preserve">bounded_healthcare_sample</t>
        </is>
      </c>
      <c r="R19" s="4" t="inlineStr">
        <is>
          <t xml:space="preserve">Targeted primary abstract recheck, 23 October 2026: Abstract. Scope: Responses from 256 participants, including adolescents and medical personnel in six Bangladesh regions; prototype communication and experience analysis. Not a full independent appraisal.</t>
        </is>
      </c>
      <c r="S19" s="4" t="inlineStr">
        <is>
          <t xml:space="preserve">Not documented</t>
        </is>
      </c>
      <c r="T19" s="4" t="inlineStr">
        <is>
          <t xml:space="preserve">Rahman, R., Rahman, M.R., Tripto, N.I., Ali, M.E., Apon, S.H. and Shahriyar, R., 2021, May. AdolescentBot: Understanding opportunities for chatbots in combating adolescent sexual and reproductive health problems in Bangladesh. In Proceedings of the 2021 CHI conference on human factors in computing systems (pp. 1-15). https://doi.org/10.1145/3411764.3445694</t>
        </is>
      </c>
      <c r="U19" s="4" t="inlineStr">
        <is>
          <t xml:space="preserve">[36]</t>
        </is>
      </c>
      <c r="V19" s="4" t="inlineStr">
        <is>
          <t xml:space="preserve">Working inclusion</t>
        </is>
      </c>
    </row>
    <row r="20" ht="99" customHeight="1">
      <c r="A20" s="4" t="inlineStr">
        <is>
          <t xml:space="preserve">S16</t>
        </is>
      </c>
      <c r="B20" s="4" t="inlineStr">
        <is>
          <t xml:space="preserve">Griffin et al. (2021)</t>
        </is>
      </c>
      <c r="C20" s="5">
        <v>2021</v>
      </c>
      <c r="D20" s="4" t="inlineStr">
        <is>
          <t xml:space="preserve">Information needs and perceptions of chatbots for hypertension medication self-management: a mixed methods study</t>
        </is>
      </c>
      <c r="E20" s="4" t="inlineStr">
        <is>
          <t xml:space="preserve">10.1093/jamiaopen/ooab021</t>
        </is>
      </c>
      <c r="F20" s="4" t="inlineStr">
        <is>
          <t xml:space="preserve">Prospective hypertension self-management chatbot concept</t>
        </is>
      </c>
      <c r="G20" s="4" t="inlineStr">
        <is>
          <t xml:space="preserve">Chronic-disease medication self-management</t>
        </is>
      </c>
      <c r="H20" s="4" t="inlineStr">
        <is>
          <t xml:space="preserve">United States</t>
        </is>
      </c>
      <c r="I20" s="4" t="inlineStr">
        <is>
          <t xml:space="preserve">Patients</t>
        </is>
      </c>
      <c r="J20" s="4" t="inlineStr">
        <is>
          <t xml:space="preserve">Mixed-method user-needs study</t>
        </is>
      </c>
      <c r="K20" s="4" t="inlineStr">
        <is>
          <t xml:space="preserve">Mixed methods</t>
        </is>
      </c>
      <c r="L20" s="4" t="inlineStr">
        <is>
          <t xml:space="preserve">Recruited: 15; randomized: N/A; completed: 15; analyzed: 15</t>
        </is>
      </c>
      <c r="M20" s="4" t="inlineStr">
        <is>
          <t xml:space="preserve">None</t>
        </is>
      </c>
      <c r="N20" s="4" t="inlineStr">
        <is>
          <t xml:space="preserve">Single study encounter</t>
        </is>
      </c>
      <c r="O20" s="4" t="inlineStr">
        <is>
          <t xml:space="preserve">Moderate</t>
        </is>
      </c>
      <c r="P20" s="4" t="inlineStr">
        <is>
          <t xml:space="preserve">https://doi.org/10.1093/jamiaopen/ooab021</t>
        </is>
      </c>
      <c r="Q20" s="4" t="inlineStr">
        <is>
          <t xml:space="preserve">bounded_healthcare_sample</t>
        </is>
      </c>
      <c r="R20" s="4" t="inlineStr">
        <is>
          <t xml:space="preserve">Targeted primary full text recheck, 23 October 2026: Methods; Results: Sample characteristics. Scope: 15 participants with hypertension; mixed-method self-management needs and perceptions; not a treatment trial. Not a full independent appraisal.</t>
        </is>
      </c>
      <c r="S20" s="4" t="inlineStr">
        <is>
          <t xml:space="preserve">Not documented</t>
        </is>
      </c>
      <c r="T20" s="4" t="inlineStr">
        <is>
          <t xml:space="preserve">Griffin AC, Xing Z, Mikles SP, et al. Information needs and perceptions of chatbots for hypertension medication self-management: a mixed methods study. JAMIA Open. 2021;4(2):ooab021. doi:10.1093/jamiaopen/ooab021.</t>
        </is>
      </c>
      <c r="U20" s="4" t="inlineStr">
        <is>
          <t xml:space="preserve">[59]</t>
        </is>
      </c>
      <c r="V20" s="4" t="inlineStr">
        <is>
          <t xml:space="preserve">Working inclusion</t>
        </is>
      </c>
    </row>
    <row r="21" ht="151" customHeight="1">
      <c r="A21" s="4" t="inlineStr">
        <is>
          <t xml:space="preserve">S17</t>
        </is>
      </c>
      <c r="B21" s="4" t="inlineStr">
        <is>
          <t xml:space="preserve">Jang et al. (2021)</t>
        </is>
      </c>
      <c r="C21" s="5">
        <v>2021</v>
      </c>
      <c r="D21" s="4" t="inlineStr">
        <is>
          <t xml:space="preserve">Mobile app-based chatbot to deliver cognitive behavioral therapy and psychoeducation for adults with attention deficit: a development and feasibility/usability study</t>
        </is>
      </c>
      <c r="E21" s="4" t="inlineStr">
        <is>
          <t xml:space="preserve">10.1016/j.ijmedinf.2021.104440</t>
        </is>
      </c>
      <c r="F21" s="4" t="inlineStr">
        <is>
          <t xml:space="preserve">Todaki</t>
        </is>
      </c>
      <c r="G21" s="4" t="inlineStr">
        <is>
          <t xml:space="preserve">Mental health/attention deficit</t>
        </is>
      </c>
      <c r="H21" s="4" t="inlineStr">
        <is>
          <t xml:space="preserve">South Korea</t>
        </is>
      </c>
      <c r="I21" s="4" t="inlineStr">
        <is>
          <t xml:space="preserve">Adults with attention-deficit symptoms</t>
        </is>
      </c>
      <c r="J21" s="4" t="inlineStr">
        <is>
          <t xml:space="preserve">Pilot randomized feasibility/usability study</t>
        </is>
      </c>
      <c r="K21" s="4" t="inlineStr">
        <is>
          <t xml:space="preserve">Randomized/comparative intervention</t>
        </is>
      </c>
      <c r="L21" s="4" t="inlineStr">
        <is>
          <t xml:space="preserve">46 randomized (23/23); ITT analysis 23/23. Endpoint-completer count not established from accessible primary excerpt; not assumed to equal 46.</t>
        </is>
      </c>
      <c r="M21" s="4" t="inlineStr">
        <is>
          <t xml:space="preserve">Information-only control</t>
        </is>
      </c>
      <c r="N21" s="4" t="inlineStr">
        <is>
          <t xml:space="preserve">4 weeks</t>
        </is>
      </c>
      <c r="O21" s="4" t="inlineStr">
        <is>
          <t xml:space="preserve">Moderate</t>
        </is>
      </c>
      <c r="P21" s="4" t="inlineStr">
        <is>
          <t xml:space="preserve">https://doi.org/10.1016/j.ijmedinf.2021.104440</t>
        </is>
      </c>
      <c r="Q21" s="4" t="inlineStr">
        <is>
          <t xml:space="preserve">bounded_healthcare_sample</t>
        </is>
      </c>
      <c r="R21" s="4" t="inlineStr">
        <is>
          <t xml:space="preserve">Targeted primary abstract and publisher excerpts recheck, 23 October 2026: Abstract: Methods/Results. Scope: 46 randomized 23/23; four-week pilot; ITT analysis 23/23. Endpoint completer count was not established by the accessible excerpt. Not a full independent appraisal.</t>
        </is>
      </c>
      <c r="S21" s="4" t="inlineStr">
        <is>
          <t xml:space="preserve">Not documented</t>
        </is>
      </c>
      <c r="T21" s="4" t="inlineStr">
        <is>
          <t xml:space="preserve">Jang, S., Kim, J.J., Kim, S.J., Hong, J., Kim, S. and Kim, E., 2021. Mobile app-based chatbot to deliver cognitive behavioral therapy and psychoeducation for adults with attention deficit: a development and feasibility/usability study. International Journal of Medical Informatics, 150, 104440. https://doi.org/10.1016/j.ijmedinf.2021.104440</t>
        </is>
      </c>
      <c r="U21" s="4" t="inlineStr">
        <is>
          <t xml:space="preserve">[69]</t>
        </is>
      </c>
      <c r="V21" s="4" t="inlineStr">
        <is>
          <t xml:space="preserve">Working inclusion</t>
        </is>
      </c>
    </row>
    <row r="22" ht="112" customHeight="1">
      <c r="A22" s="4" t="inlineStr">
        <is>
          <t xml:space="preserve">S18</t>
        </is>
      </c>
      <c r="B22" s="4" t="inlineStr">
        <is>
          <t xml:space="preserve">He et al. (2022)</t>
        </is>
      </c>
      <c r="C22" s="5">
        <v>2022</v>
      </c>
      <c r="D22" s="4" t="inlineStr">
        <is>
          <t xml:space="preserve">Mental health chatbot for young adults with depressive symptoms during the COVID-19 pandemic: single-blind, three-arm randomized controlled trial</t>
        </is>
      </c>
      <c r="E22" s="4" t="inlineStr">
        <is>
          <t xml:space="preserve">10.2196/40719</t>
        </is>
      </c>
      <c r="F22" s="4" t="inlineStr">
        <is>
          <t xml:space="preserve">XiaoE</t>
        </is>
      </c>
      <c r="G22" s="4" t="inlineStr">
        <is>
          <t xml:space="preserve">Mental health/depressive symptoms</t>
        </is>
      </c>
      <c r="H22" s="4" t="inlineStr">
        <is>
          <t xml:space="preserve">China</t>
        </is>
      </c>
      <c r="I22" s="4" t="inlineStr">
        <is>
          <t xml:space="preserve">Young adults with depressive symptoms</t>
        </is>
      </c>
      <c r="J22" s="4" t="inlineStr">
        <is>
          <t xml:space="preserve">Single-blind three-arm randomized controlled trial</t>
        </is>
      </c>
      <c r="K22" s="4" t="inlineStr">
        <is>
          <t xml:space="preserve">Randomized/comparative intervention</t>
        </is>
      </c>
      <c r="L22" s="4" t="inlineStr">
        <is>
          <t xml:space="preserve">148 randomized: XiaoE 49, e-book 49, Xiaoai 50. Table 2 observed endpoint counts: day 7, 45/39/41 (125 total); day 30, 44/32/30 (106 total). ITT uses multiple imputation; observed counts are not the full ITT denominator.</t>
        </is>
      </c>
      <c r="M22" s="4" t="inlineStr">
        <is>
          <t xml:space="preserve">Mental-health e-book and general chatbot Xiaoai.</t>
        </is>
      </c>
      <c r="N22" s="4" t="inlineStr">
        <is>
          <t xml:space="preserve">One-week intervention; assessment at day 7 and day 30 after enrollment.</t>
        </is>
      </c>
      <c r="O22" s="4" t="inlineStr">
        <is>
          <t xml:space="preserve">Higher</t>
        </is>
      </c>
      <c r="P22" s="4" t="inlineStr">
        <is>
          <t xml:space="preserve">https://doi.org/10.2196/40719</t>
        </is>
      </c>
      <c r="Q22" s="4" t="inlineStr">
        <is>
          <t xml:space="preserve">bounded_healthcare_sample</t>
        </is>
      </c>
      <c r="R22" s="4" t="inlineStr">
        <is>
          <t xml:space="preserve">Targeted primary full-text recheck, 23 October 2026: Methods: Statistical Analysis; Results: Table 2 and Table 3; PP Analysis. This is not independent duplicate human extraction.</t>
        </is>
      </c>
      <c r="S22" s="4" t="inlineStr">
        <is>
          <t xml:space="preserve">Not documented</t>
        </is>
      </c>
      <c r="T22" s="4" t="inlineStr">
        <is>
          <t xml:space="preserve">He Y, Yang L, Zhu X, et al. Mental health chatbot for young adults with depressive symptoms during the COVID-19 pandemic: single-blind, three-arm randomized controlled trial. J Med Internet Res. 2022;24(11):e40719. doi:10.2196/40719.</t>
        </is>
      </c>
      <c r="U22" s="4" t="inlineStr">
        <is>
          <t xml:space="preserve">[15]</t>
        </is>
      </c>
      <c r="V22" s="4" t="inlineStr">
        <is>
          <t xml:space="preserve">Working inclusion</t>
        </is>
      </c>
    </row>
    <row r="23" ht="112" customHeight="1">
      <c r="A23" s="4" t="inlineStr">
        <is>
          <t xml:space="preserve">S19</t>
        </is>
      </c>
      <c r="B23" s="4" t="inlineStr">
        <is>
          <t xml:space="preserve">Fitzsimmons-Craft et al. (2022)</t>
        </is>
      </c>
      <c r="C23" s="5">
        <v>2022</v>
      </c>
      <c r="D23" s="4" t="inlineStr">
        <is>
          <t xml:space="preserve">Effectiveness of a chatbot for eating disorders prevention: a randomized clinical trial</t>
        </is>
      </c>
      <c r="E23" s="4" t="inlineStr">
        <is>
          <t xml:space="preserve">10.1002/eat.23662</t>
        </is>
      </c>
      <c r="F23" s="4" t="inlineStr">
        <is>
          <t xml:space="preserve">Tessa/StudentBodies-based chatbot</t>
        </is>
      </c>
      <c r="G23" s="4" t="inlineStr">
        <is>
          <t xml:space="preserve">Mental health/eating-disorder prevention</t>
        </is>
      </c>
      <c r="H23" s="4" t="inlineStr">
        <is>
          <t xml:space="preserve">United States</t>
        </is>
      </c>
      <c r="I23" s="4" t="inlineStr">
        <is>
          <t xml:space="preserve">Women at high risk for eating disorders</t>
        </is>
      </c>
      <c r="J23" s="4" t="inlineStr">
        <is>
          <t xml:space="preserve">Randomized clinical trial</t>
        </is>
      </c>
      <c r="K23" s="4" t="inlineStr">
        <is>
          <t xml:space="preserve">Randomized/comparative intervention</t>
        </is>
      </c>
      <c r="L23" s="4" t="inlineStr">
        <is>
          <t xml:space="preserve">Recruited: 700; randomized: 700 (352 intervention; 348 control); completed: Follow-up completion varied by time point; analyzed: Intention-to-treat/model-based analysis as reported</t>
        </is>
      </c>
      <c r="M23" s="4" t="inlineStr">
        <is>
          <t xml:space="preserve">Waitlist control</t>
        </is>
      </c>
      <c r="N23" s="4" t="inlineStr">
        <is>
          <t xml:space="preserve">3- and 6-month follow-up</t>
        </is>
      </c>
      <c r="O23" s="4" t="inlineStr">
        <is>
          <t xml:space="preserve">Higher</t>
        </is>
      </c>
      <c r="P23" s="4" t="inlineStr">
        <is>
          <t xml:space="preserve">https://doi.org/10.1002/eat.23662</t>
        </is>
      </c>
      <c r="Q23" s="4" t="inlineStr">
        <is>
          <t xml:space="preserve">bounded_healthcare_sample</t>
        </is>
      </c>
      <c r="R23" s="4" t="inlineStr">
        <is>
          <t xml:space="preserve">Targeted primary abstract recheck, 23 October 2026: Abstract: Method/Results. Scope: 700 randomized; weight/shape concerns improved at 3/6 months; no depression/anxiety between-group differences; exact endpoint completer counts not in abstract. Not a full independent appraisal.</t>
        </is>
      </c>
      <c r="S23" s="4" t="inlineStr">
        <is>
          <t xml:space="preserve">Not documented</t>
        </is>
      </c>
      <c r="T23" s="4" t="inlineStr">
        <is>
          <t xml:space="preserve">Fitzsimmons-Craft EE, Chan WW, Smith AC, et al. Effectiveness of a chatbot for eating disorders prevention: a randomized clinical trial. Int J Eat Disord. 2022;55(3):343-353. doi:10.1002/eat.23662.</t>
        </is>
      </c>
      <c r="U23" s="4" t="inlineStr">
        <is>
          <t xml:space="preserve">[63]</t>
        </is>
      </c>
      <c r="V23" s="4" t="inlineStr">
        <is>
          <t xml:space="preserve">Working inclusion</t>
        </is>
      </c>
    </row>
    <row r="24" ht="125" customHeight="1">
      <c r="A24" s="4" t="inlineStr">
        <is>
          <t xml:space="preserve">S20</t>
        </is>
      </c>
      <c r="B24" s="4" t="inlineStr">
        <is>
          <t xml:space="preserve">Durden et al. (2023)</t>
        </is>
      </c>
      <c r="C24" s="5">
        <v>2023</v>
      </c>
      <c r="D24" s="4" t="inlineStr">
        <is>
          <t xml:space="preserve">Changes in stress, burnout, and resilience associated with an 8-week intervention with relational agent Woebot</t>
        </is>
      </c>
      <c r="E24" s="4" t="inlineStr">
        <is>
          <t xml:space="preserve">10.1016/j.invent.2023.100637</t>
        </is>
      </c>
      <c r="F24" s="4" t="inlineStr">
        <is>
          <t xml:space="preserve">Woebot-LIFE</t>
        </is>
      </c>
      <c r="G24" s="4" t="inlineStr">
        <is>
          <t xml:space="preserve">Mental health/stress and burnout</t>
        </is>
      </c>
      <c r="H24" s="4" t="inlineStr">
        <is>
          <t xml:space="preserve">United States</t>
        </is>
      </c>
      <c r="I24" s="4" t="inlineStr">
        <is>
          <t xml:space="preserve">Adults reporting stress/burnout</t>
        </is>
      </c>
      <c r="J24" s="4" t="inlineStr">
        <is>
          <t xml:space="preserve">Single-arm open-label intervention</t>
        </is>
      </c>
      <c r="K24" s="4" t="inlineStr">
        <is>
          <t xml:space="preserve">Single-arm/pre-post intervention</t>
        </is>
      </c>
      <c r="L24" s="4" t="inlineStr">
        <is>
          <t xml:space="preserve">Recruited: 256; randomized: N/A; completed: Completion reported by time point; analyzed: 256 enrolled; analysis sets as reported</t>
        </is>
      </c>
      <c r="M24" s="4" t="inlineStr">
        <is>
          <t xml:space="preserve">None</t>
        </is>
      </c>
      <c r="N24" s="4" t="inlineStr">
        <is>
          <t xml:space="preserve">8 weeks</t>
        </is>
      </c>
      <c r="O24" s="4" t="inlineStr">
        <is>
          <t xml:space="preserve">Lower</t>
        </is>
      </c>
      <c r="P24" s="4" t="inlineStr">
        <is>
          <t xml:space="preserve">https://doi.org/10.1016/j.invent.2023.100637</t>
        </is>
      </c>
      <c r="Q24" s="4" t="inlineStr">
        <is>
          <t xml:space="preserve">bounded_healthcare_sample</t>
        </is>
      </c>
      <c r="R24" s="4" t="inlineStr">
        <is>
          <t xml:space="preserve">Targeted primary abstract and publisher highlights recheck, 23 October 2026: Abstract; Highlights. Scope: 256 adults; eight-week relational-agent study; uncontrolled stress/burnout/resilience change, not established causal efficacy. Not a full independent appraisal.</t>
        </is>
      </c>
      <c r="S24" s="4" t="inlineStr">
        <is>
          <t xml:space="preserve">Not documented</t>
        </is>
      </c>
      <c r="T24" s="4" t="inlineStr">
        <is>
          <t xml:space="preserve">Durden, E., Pirner, M.C., Rapoport, S.J., Williams, A., Robinson, A. and Forman-Hoffman, V.L., 2023. Changes in stress, burnout, and resilience associated with an 8-week intervention with relational agent “Woebot”. Internet Interventions, 33, p.100637. https://doi.org/10.1016/j.invent.2023.100637</t>
        </is>
      </c>
      <c r="U24" s="4" t="inlineStr">
        <is>
          <t xml:space="preserve">[57]</t>
        </is>
      </c>
      <c r="V24" s="4" t="inlineStr">
        <is>
          <t xml:space="preserve">Working inclusion</t>
        </is>
      </c>
    </row>
    <row r="25" ht="99" customHeight="1">
      <c r="A25" s="4" t="inlineStr">
        <is>
          <t xml:space="preserve">S21</t>
        </is>
      </c>
      <c r="B25" s="4" t="inlineStr">
        <is>
          <t xml:space="preserve">Potts et al. (2023)</t>
        </is>
      </c>
      <c r="C25" s="5">
        <v>2023</v>
      </c>
      <c r="D25" s="4" t="inlineStr">
        <is>
          <t xml:space="preserve">A multilingual digital mental health and well-being chatbot (ChatPal): pre-post multicenter intervention study</t>
        </is>
      </c>
      <c r="E25" s="4" t="inlineStr">
        <is>
          <t xml:space="preserve">10.2196/43051</t>
        </is>
      </c>
      <c r="F25" s="4" t="inlineStr">
        <is>
          <t xml:space="preserve">ChatPal</t>
        </is>
      </c>
      <c r="G25" s="4" t="inlineStr">
        <is>
          <t xml:space="preserve">Mental health/public well-being</t>
        </is>
      </c>
      <c r="H25" s="4" t="inlineStr">
        <is>
          <t xml:space="preserve">Ireland, Northern Ireland, Scotland, Finland and Sweden</t>
        </is>
      </c>
      <c r="I25" s="4" t="inlineStr">
        <is>
          <t xml:space="preserve">Adults from general population and mental-health service contexts</t>
        </is>
      </c>
      <c r="J25" s="4" t="inlineStr">
        <is>
          <t xml:space="preserve">Multicenter pre-post intervention</t>
        </is>
      </c>
      <c r="K25" s="4" t="inlineStr">
        <is>
          <t xml:space="preserve">Single-arm/pre-post intervention</t>
        </is>
      </c>
      <c r="L25" s="4" t="inlineStr">
        <is>
          <t xml:space="preserve">348 recruited; instrument-specific baseline/midpoint/endpoint: SWEMWBS 275/37/19; WHO-5 270/34/16; SWLS 268/33/18. Feedback respondents n = 87.</t>
        </is>
      </c>
      <c r="M25" s="4" t="inlineStr">
        <is>
          <t xml:space="preserve">No concurrent randomized comparator.</t>
        </is>
      </c>
      <c r="N25" s="4" t="inlineStr">
        <is>
          <t xml:space="preserve">12 weeks</t>
        </is>
      </c>
      <c r="O25" s="4" t="inlineStr">
        <is>
          <t xml:space="preserve">Moderate</t>
        </is>
      </c>
      <c r="P25" s="4" t="inlineStr">
        <is>
          <t xml:space="preserve">https://doi.org/10.2196/43051</t>
        </is>
      </c>
      <c r="Q25" s="4" t="inlineStr">
        <is>
          <t xml:space="preserve">bounded_healthcare_sample</t>
        </is>
      </c>
      <c r="R25" s="4" t="inlineStr">
        <is>
          <t xml:space="preserve">Targeted primary full-text recheck, 23 October 2026: Results: Tables 2–4; User Feedback; Limitations. This is not independent duplicate human extraction.</t>
        </is>
      </c>
      <c r="S25" s="4" t="inlineStr">
        <is>
          <t xml:space="preserve">Not documented</t>
        </is>
      </c>
      <c r="T25" s="4" t="inlineStr">
        <is>
          <t xml:space="preserve">Potts C, Lindström F, Bond R, et al. A multilingual digital mental health and well-being chatbot (ChatPal): pre-post multicenter intervention study. J Med Internet Res. 2023;25:e43051. doi:10.2196/43051.</t>
        </is>
      </c>
      <c r="U25" s="4" t="inlineStr">
        <is>
          <t xml:space="preserve">[8]</t>
        </is>
      </c>
      <c r="V25" s="4" t="inlineStr">
        <is>
          <t xml:space="preserve">Working inclusion</t>
        </is>
      </c>
    </row>
    <row r="26" ht="112" customHeight="1">
      <c r="A26" s="4" t="inlineStr">
        <is>
          <t xml:space="preserve">S22</t>
        </is>
      </c>
      <c r="B26" s="4" t="inlineStr">
        <is>
          <t xml:space="preserve">Kleinau et al. (2024)</t>
        </is>
      </c>
      <c r="C26" s="5">
        <v>2024</v>
      </c>
      <c r="D26" s="4" t="inlineStr">
        <is>
          <t xml:space="preserve">Effectiveness of a chatbot in improving the mental wellbeing of health workers in Malawi during the COVID-19 pandemic: a randomized, controlled trial</t>
        </is>
      </c>
      <c r="E26" s="4" t="inlineStr">
        <is>
          <t xml:space="preserve">10.1371/journal.pone.0303370</t>
        </is>
      </c>
      <c r="F26" s="4" t="inlineStr">
        <is>
          <t xml:space="preserve">Vitalk mental-wellbeing chatbot</t>
        </is>
      </c>
      <c r="G26" s="4" t="inlineStr">
        <is>
          <t xml:space="preserve">Mental health/occupational well-being</t>
        </is>
      </c>
      <c r="H26" s="4" t="inlineStr">
        <is>
          <t xml:space="preserve">Malawi</t>
        </is>
      </c>
      <c r="I26" s="4" t="inlineStr">
        <is>
          <t xml:space="preserve">Health workers</t>
        </is>
      </c>
      <c r="J26" s="4" t="inlineStr">
        <is>
          <t xml:space="preserve">Two-arm randomized controlled trial</t>
        </is>
      </c>
      <c r="K26" s="4" t="inlineStr">
        <is>
          <t xml:space="preserve">Randomized/comparative intervention</t>
        </is>
      </c>
      <c r="L26" s="4" t="inlineStr">
        <is>
          <t xml:space="preserve">Recruited: 1,584; randomized: 1,584; completed: 215 intervention and 296 control completed baseline/endline anxiety assessments; outcome-specific samples varied; analyzed: Outcome-specific complete cases/model analyses</t>
        </is>
      </c>
      <c r="M26" s="4" t="inlineStr">
        <is>
          <t xml:space="preserve">Enhanced care as usual/passive information</t>
        </is>
      </c>
      <c r="N26" s="4" t="inlineStr">
        <is>
          <t xml:space="preserve">8 weeks</t>
        </is>
      </c>
      <c r="O26" s="4" t="inlineStr">
        <is>
          <t xml:space="preserve">Moderate</t>
        </is>
      </c>
      <c r="P26" s="4" t="inlineStr">
        <is>
          <t xml:space="preserve">https://doi.org/10.1371/journal.pone.0303370</t>
        </is>
      </c>
      <c r="Q26" s="4" t="inlineStr">
        <is>
          <t xml:space="preserve">bounded_healthcare_sample</t>
        </is>
      </c>
      <c r="R26" s="4" t="inlineStr">
        <is>
          <t xml:space="preserve">Targeted primary full text recheck, 23 October 2026: Abstract; Results: participant flow. Scope: 1,584 randomized; 215 treatment and 296 control completed baseline/endline anxiety assessments; outcome-specific attrition. Not a full independent appraisal.</t>
        </is>
      </c>
      <c r="S26" s="4" t="inlineStr">
        <is>
          <t xml:space="preserve">Not documented</t>
        </is>
      </c>
      <c r="T26" s="4" t="inlineStr">
        <is>
          <t xml:space="preserve">Kleinau E, Lamba T, Jaskiewicz W, et al. Effectiveness of a chatbot in improving the mental wellbeing of health workers in Malawi during the COVID-19 pandemic: a randomized controlled trial. PLoS One. 2024;19(5):e0303370. doi:10.1371/journal.pone.0303370.</t>
        </is>
      </c>
      <c r="U26" s="4" t="inlineStr">
        <is>
          <t xml:space="preserve">[70]</t>
        </is>
      </c>
      <c r="V26" s="4" t="inlineStr">
        <is>
          <t xml:space="preserve">Working inclusion</t>
        </is>
      </c>
    </row>
    <row r="27" ht="151" customHeight="1">
      <c r="A27" s="4" t="inlineStr">
        <is>
          <t xml:space="preserve">S23</t>
        </is>
      </c>
      <c r="B27" s="4" t="inlineStr">
        <is>
          <t xml:space="preserve">Langhammer et al. (2024)</t>
        </is>
      </c>
      <c r="C27" s="5">
        <v>2024</v>
      </c>
      <c r="D27" s="4" t="inlineStr">
        <is>
          <t xml:space="preserve">Evaluation of a CBT-based program for mental health in the general population during the COVID-19 pandemic: a stepped-care approach using a chatbot and digitized group intervention</t>
        </is>
      </c>
      <c r="E27" s="4" t="inlineStr">
        <is>
          <t xml:space="preserve">10.1155/2024/8950388</t>
        </is>
      </c>
      <c r="F27" s="4" t="inlineStr">
        <is>
          <t xml:space="preserve">Aury plus digitized group intervention</t>
        </is>
      </c>
      <c r="G27" s="4" t="inlineStr">
        <is>
          <t xml:space="preserve">Mental health/general population</t>
        </is>
      </c>
      <c r="H27" s="4" t="inlineStr">
        <is>
          <t xml:space="preserve">Germany</t>
        </is>
      </c>
      <c r="I27" s="4" t="inlineStr">
        <is>
          <t xml:space="preserve">Adults in the general population</t>
        </is>
      </c>
      <c r="J27" s="4" t="inlineStr">
        <is>
          <t xml:space="preserve">Nonrandomized stepped-care pre/post evaluation with a within-subject waiting period; no concurrent randomized control</t>
        </is>
      </c>
      <c r="K27" s="4" t="inlineStr">
        <is>
          <t xml:space="preserve">Single-arm/pre-post intervention</t>
        </is>
      </c>
      <c r="L27" s="4" t="inlineStr">
        <is>
          <t xml:space="preserve">1,752 eligible/enrolled; 1,261 baseline; 189 all-chatbot completers (142 chatbot-only); 41 complete programme; six-month follow-up 60 chatbot-only/27 complete-programme.</t>
        </is>
      </c>
      <c r="M27" s="4" t="inlineStr">
        <is>
          <t xml:space="preserve">Within-subject four-week waiting period between components and observational program-use groups; no concurrent randomized allocation.</t>
        </is>
      </c>
      <c r="N27" s="4" t="inlineStr">
        <is>
          <t xml:space="preserve">4-week chatbot plus optional 6-week group intervention</t>
        </is>
      </c>
      <c r="O27" s="4" t="inlineStr">
        <is>
          <t xml:space="preserve">Lower</t>
        </is>
      </c>
      <c r="P27" s="4" t="inlineStr">
        <is>
          <t xml:space="preserve">https://doi.org/10.1155/2024/8950388</t>
        </is>
      </c>
      <c r="Q27" s="4" t="inlineStr">
        <is>
          <t xml:space="preserve">bounded_healthcare_sample</t>
        </is>
      </c>
      <c r="R27" s="4" t="inlineStr">
        <is>
          <t xml:space="preserve">Targeted primary full text in publisher indexed record check, 23 October 2026: Methods 2.1–2.5; Results; Table 1. 1,752 enrolled/eligible, 1,261 baseline; 189 complete chatbot records includes 142 chatbot-only; 41 complete-program records; 60/27 at 6 months. Nonrandomized stepped care with within-subject waiting period, not a concurrent randomized comparator. No independent human duplicate assessment.</t>
        </is>
      </c>
      <c r="S27" s="4" t="inlineStr">
        <is>
          <t xml:space="preserve">Not documented</t>
        </is>
      </c>
      <c r="T27" s="4" t="inlineStr">
        <is>
          <t xml:space="preserve">Langhammer, T., Hilbert, K., Wasenmueller, R., Praxl, B., Ertle, A., Asbrand, J. and Lueken, U., 2024. Evaluation of a CBT-based program for mental health in the general population during the COVID-19 pandemic: a stepped-care approach using a chatbot and digitized group intervention. Depression and Anxiety, 2024, 8950388. https://doi.org/10.1155/2024/8950388</t>
        </is>
      </c>
      <c r="U27" s="4" t="inlineStr">
        <is>
          <t xml:space="preserve">[71]</t>
        </is>
      </c>
      <c r="V27" s="4" t="inlineStr">
        <is>
          <t xml:space="preserve">Working inclusion</t>
        </is>
      </c>
    </row>
    <row r="28" ht="125" customHeight="1">
      <c r="A28" s="4" t="inlineStr">
        <is>
          <t xml:space="preserve">S24</t>
        </is>
      </c>
      <c r="B28" s="4" t="inlineStr">
        <is>
          <t xml:space="preserve">Ulrich et al. (2024)</t>
        </is>
      </c>
      <c r="C28" s="5">
        <v>2024</v>
      </c>
      <c r="D28" s="4" t="inlineStr">
        <is>
          <t xml:space="preserve">Development and evaluation of a smartphone-based chatbot coach to facilitate a balanced lifestyle in individuals with headaches (BalanceUP App): randomized controlled trial</t>
        </is>
      </c>
      <c r="E28" s="4" t="inlineStr">
        <is>
          <t xml:space="preserve">10.2196/50132</t>
        </is>
      </c>
      <c r="F28" s="4" t="inlineStr">
        <is>
          <t xml:space="preserve">BalanceUP</t>
        </is>
      </c>
      <c r="G28" s="4" t="inlineStr">
        <is>
          <t xml:space="preserve">Chronic condition/headache self-management</t>
        </is>
      </c>
      <c r="H28" s="4" t="inlineStr">
        <is>
          <t xml:space="preserve">Switzerland</t>
        </is>
      </c>
      <c r="I28" s="4" t="inlineStr">
        <is>
          <t xml:space="preserve">Adults with headaches</t>
        </is>
      </c>
      <c r="J28" s="4" t="inlineStr">
        <is>
          <t xml:space="preserve">Randomized controlled trial</t>
        </is>
      </c>
      <c r="K28" s="4" t="inlineStr">
        <is>
          <t xml:space="preserve">Randomized/comparative intervention</t>
        </is>
      </c>
      <c r="L28" s="4" t="inlineStr">
        <is>
          <t xml:space="preserve">198 randomized (110 intervention, 88 control). Table 3 PHQ-ADS per-protocol n = 78/72; MIDAS absenteeism/presenteeism n = 71/67. The combined coaching-completion denominator 182 is a different population.</t>
        </is>
      </c>
      <c r="M28" s="4" t="inlineStr">
        <is>
          <t xml:space="preserve">Waitlist; ITT mixed models and endpoint-specific per-protocol results.</t>
        </is>
      </c>
      <c r="N28" s="4" t="inlineStr">
        <is>
          <t xml:space="preserve">Intervention period reported in final article</t>
        </is>
      </c>
      <c r="O28" s="4" t="inlineStr">
        <is>
          <t xml:space="preserve">Higher</t>
        </is>
      </c>
      <c r="P28" s="4" t="inlineStr">
        <is>
          <t xml:space="preserve">https://doi.org/10.2196/50132</t>
        </is>
      </c>
      <c r="Q28" s="4" t="inlineStr">
        <is>
          <t xml:space="preserve">bounded_healthcare_sample</t>
        </is>
      </c>
      <c r="R28" s="4" t="inlineStr">
        <is>
          <t xml:space="preserve">Targeted primary full-text recheck, 23 October 2026: Results: Table 3; Methods: outcome measures; Secondary Outcomes. This is not independent duplicate human extraction.</t>
        </is>
      </c>
      <c r="S28" s="4" t="inlineStr">
        <is>
          <t xml:space="preserve">Not documented</t>
        </is>
      </c>
      <c r="T28" s="4" t="inlineStr">
        <is>
          <t xml:space="preserve">Ulrich S, Gantenbein AR, Zuber V, von Wyl A, Kowatsch T, Künzli H. Development and evaluation of a smartphone-based chatbot coach to facilitate a balanced lifestyle in individuals with headaches: randomized controlled trial. J Med Internet Res. 2024;26:e50132. doi:10.2196/50132.</t>
        </is>
      </c>
      <c r="U28" s="4" t="inlineStr">
        <is>
          <t xml:space="preserve">[40]</t>
        </is>
      </c>
      <c r="V28" s="4" t="inlineStr">
        <is>
          <t xml:space="preserve">Working inclusion</t>
        </is>
      </c>
    </row>
    <row r="29" ht="99" customHeight="1">
      <c r="A29" s="4" t="inlineStr">
        <is>
          <t xml:space="preserve">S25</t>
        </is>
      </c>
      <c r="B29" s="4" t="inlineStr">
        <is>
          <t xml:space="preserve">Maples et al. (2024)</t>
        </is>
      </c>
      <c r="C29" s="5">
        <v>2024</v>
      </c>
      <c r="D29" s="4" t="inlineStr">
        <is>
          <t xml:space="preserve">Loneliness and suicide mitigation for students using GPT3-enabled chatbots</t>
        </is>
      </c>
      <c r="E29" s="4" t="inlineStr">
        <is>
          <t xml:space="preserve">10.1038/s44184-023-00047-6</t>
        </is>
      </c>
      <c r="F29" s="4" t="inlineStr">
        <is>
          <t xml:space="preserve">Replika</t>
        </is>
      </c>
      <c r="G29" s="4" t="inlineStr">
        <is>
          <t xml:space="preserve">Mental health/social support</t>
        </is>
      </c>
      <c r="H29" s="4" t="inlineStr">
        <is>
          <t xml:space="preserve">Self-selected/international; see source</t>
        </is>
      </c>
      <c r="I29" s="4" t="inlineStr">
        <is>
          <t xml:space="preserve">Consumer chatbot users</t>
        </is>
      </c>
      <c r="J29" s="4" t="inlineStr">
        <is>
          <t xml:space="preserve">Cross-sectional survey</t>
        </is>
      </c>
      <c r="K29" s="4" t="inlineStr">
        <is>
          <t xml:space="preserve">Survey/observational</t>
        </is>
      </c>
      <c r="L29" s="4" t="inlineStr">
        <is>
          <t xml:space="preserve">1006 student Replika users</t>
        </is>
      </c>
      <c r="M29" s="4" t="inlineStr">
        <is>
          <t xml:space="preserve">None</t>
        </is>
      </c>
      <c r="N29" s="4" t="inlineStr">
        <is>
          <t xml:space="preserve">Cross-sectional</t>
        </is>
      </c>
      <c r="O29" s="4" t="inlineStr">
        <is>
          <t xml:space="preserve">Not newly appraised</t>
        </is>
      </c>
      <c r="P29" s="4" t="inlineStr">
        <is>
          <t xml:space="preserve">https://doi.org/10.1038/s44184-023-00047-6</t>
        </is>
      </c>
      <c r="Q29" s="4" t="inlineStr">
        <is>
          <t xml:space="preserve">contextual_consumer_chatbot</t>
        </is>
      </c>
      <c r="R29" s="4" t="inlineStr">
        <is>
          <t xml:space="preserve">Targeted bibliographic/abstract verification</t>
        </is>
      </c>
      <c r="S29" s="4" t="inlineStr">
        <is>
          <t xml:space="preserve">Not documented</t>
        </is>
      </c>
      <c r="T29" s="4" t="inlineStr">
        <is>
          <t xml:space="preserve">Maples, B., Cerit, M., Vishwanath, A. and Pea, R., 2024. Loneliness and suicide mitigation for students using GPT3-enabled chatbots. npj Mental Health Research, 3, 4. https://doi.org/10.1038/s44184-023-00047-6</t>
        </is>
      </c>
      <c r="U29" s="4" t="inlineStr">
        <is>
          <t xml:space="preserve">Contextual only</t>
        </is>
      </c>
      <c r="V29" s="4" t="inlineStr">
        <is>
          <t xml:space="preserve">Contextual</t>
        </is>
      </c>
    </row>
    <row r="30" ht="99" customHeight="1">
      <c r="A30" s="4" t="inlineStr">
        <is>
          <t xml:space="preserve">S26</t>
        </is>
      </c>
      <c r="B30" s="4" t="inlineStr">
        <is>
          <t xml:space="preserve">Siddals et al. (2024)</t>
        </is>
      </c>
      <c r="C30" s="5">
        <v>2024</v>
      </c>
      <c r="D30" s="4" t="inlineStr">
        <is>
          <t xml:space="preserve">“It happened to be the perfect thing”: experiences of generative AI chatbots for mental health</t>
        </is>
      </c>
      <c r="E30" s="4" t="inlineStr">
        <is>
          <t xml:space="preserve">10.1038/s44184-024-00097-4</t>
        </is>
      </c>
      <c r="F30" s="4" t="inlineStr">
        <is>
          <t xml:space="preserve">Generative AI chatbots used for mental-health support</t>
        </is>
      </c>
      <c r="G30" s="4" t="inlineStr">
        <is>
          <t xml:space="preserve">Mental health/user experience</t>
        </is>
      </c>
      <c r="H30" s="4" t="inlineStr">
        <is>
          <t xml:space="preserve">Self-selected/international; see source</t>
        </is>
      </c>
      <c r="I30" s="4" t="inlineStr">
        <is>
          <t xml:space="preserve">Consumer chatbot users</t>
        </is>
      </c>
      <c r="J30" s="4" t="inlineStr">
        <is>
          <t xml:space="preserve">Qualitative interviews</t>
        </is>
      </c>
      <c r="K30" s="4" t="inlineStr">
        <is>
          <t xml:space="preserve">Qualitative</t>
        </is>
      </c>
      <c r="L30" s="4" t="inlineStr">
        <is>
          <t xml:space="preserve">19 interviewees</t>
        </is>
      </c>
      <c r="M30" s="4" t="inlineStr">
        <is>
          <t xml:space="preserve">None</t>
        </is>
      </c>
      <c r="N30" s="4" t="inlineStr">
        <is>
          <t xml:space="preserve">Cross-sectional</t>
        </is>
      </c>
      <c r="O30" s="4" t="inlineStr">
        <is>
          <t xml:space="preserve">Not newly appraised</t>
        </is>
      </c>
      <c r="P30" s="4" t="inlineStr">
        <is>
          <t xml:space="preserve">https://doi.org/10.1038/s44184-024-00097-4</t>
        </is>
      </c>
      <c r="Q30" s="4" t="inlineStr">
        <is>
          <t xml:space="preserve">contextual_consumer_chatbot</t>
        </is>
      </c>
      <c r="R30" s="4" t="inlineStr">
        <is>
          <t xml:space="preserve">Targeted bibliographic/abstract verification</t>
        </is>
      </c>
      <c r="S30" s="4" t="inlineStr">
        <is>
          <t xml:space="preserve">Not documented</t>
        </is>
      </c>
      <c r="T30" s="4" t="inlineStr">
        <is>
          <t xml:space="preserve">Siddals, S., Torous, J. and Coxon, A., 2024. “It happened to be the perfect thing”: experiences of generative AI chatbots for mental health. npj Mental Health Research, 3, 48. https://doi.org/10.1038/s44184-024-00097-4</t>
        </is>
      </c>
      <c r="U30" s="4" t="inlineStr">
        <is>
          <t xml:space="preserve">Contextual only</t>
        </is>
      </c>
      <c r="V30" s="4" t="inlineStr">
        <is>
          <t xml:space="preserve">Contextual</t>
        </is>
      </c>
    </row>
  </sheetData>
  <autoFilter ref="A4:V30"/>
  <mergeCells count="2">
    <mergeCell ref="A1:V1"/>
    <mergeCell ref="A2:V2"/>
  </mergeCells>
  <pageMargins left="0.3" right="0.3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sheetFormatPr defaultRowHeight="18"/>
  <cols>
    <col min="1" max="1" width="12" customWidth="1"/>
    <col min="2" max="2" width="36" customWidth="1"/>
    <col min="3" max="3" width="12" customWidth="1"/>
    <col min="4" max="4" width="36" customWidth="1"/>
    <col min="5" max="5" width="36" customWidth="1"/>
    <col min="6" max="6" width="36" customWidth="1"/>
    <col min="7" max="7" width="36" customWidth="1"/>
    <col min="8" max="8" width="36" customWidth="1"/>
    <col min="9" max="9" width="36" customWidth="1"/>
    <col min="10" max="10" width="36" customWidth="1"/>
    <col min="11" max="11" width="36" customWidth="1"/>
    <col min="12" max="12" width="36" customWidth="1"/>
    <col min="13" max="13" width="36" customWidth="1"/>
    <col min="14" max="14" width="36" customWidth="1"/>
    <col min="15" max="15" width="36" customWidth="1"/>
    <col min="16" max="16" width="36" customWidth="1"/>
    <col min="17" max="17" width="36" customWidth="1"/>
    <col min="18" max="18" width="36" customWidth="1"/>
    <col min="19" max="19" width="36" customWidth="1"/>
    <col min="20" max="20" width="36" customWidth="1"/>
    <col min="21" max="21" width="36" customWidth="1"/>
    <col min="22" max="22" width="36" customWidth="1"/>
    <col min="23" max="23" width="36" customWidth="1"/>
    <col min="24" max="24" width="36" customWidth="1"/>
    <col min="25" max="25" width="36" customWidth="1"/>
    <col min="26" max="26" width="36" customWidth="1"/>
    <col min="27" max="27" width="36" customWidth="1"/>
    <col min="28" max="28" width="36" customWidth="1"/>
    <col min="29" max="29" width="42" customWidth="1"/>
    <col min="30" max="30" width="42" customWidth="1"/>
    <col min="31" max="31" width="42" customWidth="1"/>
    <col min="32" max="32" width="42" customWidth="1"/>
    <col min="33" max="33" width="36" customWidth="1"/>
    <col min="34" max="34" width="42" customWidth="1"/>
  </cols>
  <sheetData>
    <row r="1" ht="30" customHeight="1">
      <c r="A1" s="1" t="inlineStr">
        <is>
          <t xml:space="preserve">Extraction</t>
        </is>
      </c>
    </row>
    <row r="2" ht="34" customHeight="1">
      <c r="A2" s="2" t="inlineStr">
        <is>
          <t xml:space="preserve">Source: 01_data/extraction_revised24.csv. Report-level evidence; source-access limits and analytic roles are retained.</t>
        </is>
      </c>
    </row>
    <row r="4" ht="44" customHeight="1">
      <c r="A4" s="3" t="inlineStr">
        <is>
          <t xml:space="preserve">Study ID</t>
        </is>
      </c>
      <c r="B4" s="3" t="inlineStr">
        <is>
          <t xml:space="preserve">Citation</t>
        </is>
      </c>
      <c r="C4" s="3" t="inlineStr">
        <is>
          <t xml:space="preserve">Year</t>
        </is>
      </c>
      <c r="D4" s="3" t="inlineStr">
        <is>
          <t xml:space="preserve">System</t>
        </is>
      </c>
      <c r="E4" s="3" t="inlineStr">
        <is>
          <t xml:space="preserve">Modality</t>
        </is>
      </c>
      <c r="F4" s="3" t="inlineStr">
        <is>
          <t xml:space="preserve">Technical classification</t>
        </is>
      </c>
      <c r="G4" s="3" t="inlineStr">
        <is>
          <t xml:space="preserve">Domain</t>
        </is>
      </c>
      <c r="H4" s="3" t="inlineStr">
        <is>
          <t xml:space="preserve">Setting</t>
        </is>
      </c>
      <c r="I4" s="3" t="inlineStr">
        <is>
          <t xml:space="preserve">Country/region</t>
        </is>
      </c>
      <c r="J4" s="3" t="inlineStr">
        <is>
          <t xml:space="preserve">Stakeholder</t>
        </is>
      </c>
      <c r="K4" s="3" t="inlineStr">
        <is>
          <t xml:space="preserve">Design</t>
        </is>
      </c>
      <c r="L4" s="3" t="inlineStr">
        <is>
          <t xml:space="preserve">Recruitment</t>
        </is>
      </c>
      <c r="M4" s="3" t="inlineStr">
        <is>
          <t xml:space="preserve">Recruited N</t>
        </is>
      </c>
      <c r="N4" s="3" t="inlineStr">
        <is>
          <t xml:space="preserve">Randomized N</t>
        </is>
      </c>
      <c r="O4" s="3" t="inlineStr">
        <is>
          <t xml:space="preserve">Completed/endpoint N</t>
        </is>
      </c>
      <c r="P4" s="3" t="inlineStr">
        <is>
          <t xml:space="preserve">Analyzed N</t>
        </is>
      </c>
      <c r="Q4" s="3" t="inlineStr">
        <is>
          <t xml:space="preserve">Comparator</t>
        </is>
      </c>
      <c r="R4" s="3" t="inlineStr">
        <is>
          <t xml:space="preserve">Duration/follow-up</t>
        </is>
      </c>
      <c r="S4" s="3" t="inlineStr">
        <is>
          <t xml:space="preserve">Instruments</t>
        </is>
      </c>
      <c r="T4" s="3" t="inlineStr">
        <is>
          <t xml:space="preserve">User outcomes</t>
        </is>
      </c>
      <c r="U4" s="3" t="inlineStr">
        <is>
          <t xml:space="preserve">Service outcomes</t>
        </is>
      </c>
      <c r="V4" s="3" t="inlineStr">
        <is>
          <t xml:space="preserve">Organizational outcomes</t>
        </is>
      </c>
      <c r="W4" s="3" t="inlineStr">
        <is>
          <t xml:space="preserve">Clinical outcomes</t>
        </is>
      </c>
      <c r="X4" s="3" t="inlineStr">
        <is>
          <t xml:space="preserve">Safety/equity outcomes</t>
        </is>
      </c>
      <c r="Y4" s="3" t="inlineStr">
        <is>
          <t xml:space="preserve">Key limitations</t>
        </is>
      </c>
      <c r="Z4" s="3" t="inlineStr">
        <is>
          <t xml:space="preserve">Interpretive confidence</t>
        </is>
      </c>
      <c r="AA4" s="3" t="inlineStr">
        <is>
          <t xml:space="preserve">Source URL</t>
        </is>
      </c>
      <c r="AB4" s="3" t="inlineStr">
        <is>
          <t xml:space="preserve">Revised role</t>
        </is>
      </c>
      <c r="AC4" s="3" t="inlineStr">
        <is>
          <t xml:space="preserve">Correction note</t>
        </is>
      </c>
      <c r="AD4" s="3" t="inlineStr">
        <is>
          <t xml:space="preserve">Inherited reported findings</t>
        </is>
      </c>
      <c r="AE4" s="3" t="inlineStr">
        <is>
          <t xml:space="preserve">Legacy verification note</t>
        </is>
      </c>
      <c r="AF4" s="3" t="inlineStr">
        <is>
          <t xml:space="preserve">Current verification</t>
        </is>
      </c>
      <c r="AG4" s="3" t="inlineStr">
        <is>
          <t xml:space="preserve">Current source locator</t>
        </is>
      </c>
      <c r="AH4" s="3" t="inlineStr">
        <is>
          <t xml:space="preserve">Updated findings</t>
        </is>
      </c>
    </row>
    <row r="5" ht="86" customHeight="1">
      <c r="A5" s="4" t="inlineStr">
        <is>
          <t xml:space="preserve">S01</t>
        </is>
      </c>
      <c r="B5" s="4" t="inlineStr">
        <is>
          <t xml:space="preserve">Palanica et al. (2019)</t>
        </is>
      </c>
      <c r="C5" s="5">
        <v>2019</v>
      </c>
      <c r="D5" s="4" t="inlineStr">
        <is>
          <t xml:space="preserve">Generic health chatbots (scenario-based)</t>
        </is>
      </c>
      <c r="E5" s="4" t="inlineStr">
        <is>
          <t xml:space="preserve">Survey; no single deployed chatbot</t>
        </is>
      </c>
      <c r="F5" s="4" t="inlineStr">
        <is>
          <t xml:space="preserve">Not system-specific</t>
        </is>
      </c>
      <c r="G5" s="4" t="inlineStr">
        <is>
          <t xml:space="preserve">General healthcare adoption</t>
        </is>
      </c>
      <c r="H5" s="4" t="inlineStr">
        <is>
          <t xml:space="preserve">Practicing physicians</t>
        </is>
      </c>
      <c r="I5" s="4" t="inlineStr">
        <is>
          <t xml:space="preserve">United States</t>
        </is>
      </c>
      <c r="J5" s="4" t="inlineStr">
        <is>
          <t xml:space="preserve">Physicians</t>
        </is>
      </c>
      <c r="K5" s="4" t="inlineStr">
        <is>
          <t xml:space="preserve">Cross-sectional web survey</t>
        </is>
      </c>
      <c r="L5" s="4" t="inlineStr">
        <is>
          <t xml:space="preserve">Online physician survey</t>
        </is>
      </c>
      <c r="M5" s="4" t="inlineStr">
        <is>
          <t xml:space="preserve">100</t>
        </is>
      </c>
      <c r="N5" s="4" t="inlineStr">
        <is>
          <t xml:space="preserve"/>
        </is>
      </c>
      <c r="O5" s="4" t="inlineStr">
        <is>
          <t xml:space="preserve">100</t>
        </is>
      </c>
      <c r="P5" s="4" t="inlineStr">
        <is>
          <t xml:space="preserve">100</t>
        </is>
      </c>
      <c r="Q5" s="4" t="inlineStr">
        <is>
          <t xml:space="preserve">None</t>
        </is>
      </c>
      <c r="R5" s="4" t="inlineStr">
        <is>
          <t xml:space="preserve">Single survey</t>
        </is>
      </c>
      <c r="S5" s="4" t="inlineStr">
        <is>
          <t xml:space="preserve">Study-specific perception questionnaire</t>
        </is>
      </c>
      <c r="T5" s="4" t="inlineStr">
        <is>
          <t xml:space="preserve">Perceived usefulness, limitations, risk and emotional capability</t>
        </is>
      </c>
      <c r="U5" s="4" t="inlineStr">
        <is>
          <t xml:space="preserve">Perceived suitability for scheduling, clinic location and medication information</t>
        </is>
      </c>
      <c r="V5" s="4" t="inlineStr">
        <is>
          <t xml:space="preserve">Professional acceptance and task-allocation preferences</t>
        </is>
      </c>
      <c r="W5" s="4" t="inlineStr">
        <is>
          <t xml:space="preserve">None measured</t>
        </is>
      </c>
      <c r="X5" s="4" t="inlineStr">
        <is>
          <t xml:space="preserve">Concern about incorrect self-diagnosis and inability to address all patient needs</t>
        </is>
      </c>
      <c r="Y5" s="4" t="inlineStr">
        <is>
          <t xml:space="preserve">Perception study; hypothetical use cases; no patient or service outcome measurement.</t>
        </is>
      </c>
      <c r="Z5" s="4" t="inlineStr">
        <is>
          <t xml:space="preserve">Moderate</t>
        </is>
      </c>
      <c r="AA5" s="4" t="inlineStr">
        <is>
          <t xml:space="preserve">https://doi.org/10.2196/12887</t>
        </is>
      </c>
      <c r="AB5" s="4" t="inlineStr">
        <is>
          <t xml:space="preserve">bounded_healthcare_sample</t>
        </is>
      </c>
      <c r="AC5" s="4" t="inlineStr">
        <is>
          <t xml:space="preserve"/>
        </is>
      </c>
      <c r="AD5" s="4" t="inlineStr">
        <is>
          <t xml:space="preserve">Physicians viewed chatbots as more suitable for administrative or information tasks than for diagnosis, emotional support or complex care.</t>
        </is>
      </c>
      <c r="AE5" s="4" t="inlineStr">
        <is>
          <t xml:space="preserve">Publisher abstract/full text; sample, design and main task perceptions verified.</t>
        </is>
      </c>
      <c r="AF5" s="4" t="inlineStr">
        <is>
          <t xml:space="preserve">Targeted primary full text recheck, 23 October 2026: Results; Tables 1–6. Scope: 100 physician survey respondents; perceived task suitability and risks, not observed patient improvement. Not a full independent appraisal.</t>
        </is>
      </c>
      <c r="AG5" s="4" t="inlineStr">
        <is>
          <t xml:space="preserve">Results; Tables 1–6</t>
        </is>
      </c>
      <c r="AH5" s="4" t="inlineStr">
        <is>
          <t xml:space="preserve"/>
        </is>
      </c>
    </row>
    <row r="6" ht="99" customHeight="1">
      <c r="A6" s="4" t="inlineStr">
        <is>
          <t xml:space="preserve">S02</t>
        </is>
      </c>
      <c r="B6" s="4" t="inlineStr">
        <is>
          <t xml:space="preserve">Nadarzynski et al. (2019)</t>
        </is>
      </c>
      <c r="C6" s="5">
        <v>2019</v>
      </c>
      <c r="D6" s="4" t="inlineStr">
        <is>
          <t xml:space="preserve">Generic health chatbot demonstration</t>
        </is>
      </c>
      <c r="E6" s="4" t="inlineStr">
        <is>
          <t xml:space="preserve">Text chatbot demonstration plus interviews and online survey</t>
        </is>
      </c>
      <c r="F6" s="4" t="inlineStr">
        <is>
          <t xml:space="preserve">Not system-specific</t>
        </is>
      </c>
      <c r="G6" s="4" t="inlineStr">
        <is>
          <t xml:space="preserve">General healthcare adoption</t>
        </is>
      </c>
      <c r="H6" s="4" t="inlineStr">
        <is>
          <t xml:space="preserve">University/community internet users</t>
        </is>
      </c>
      <c r="I6" s="4" t="inlineStr">
        <is>
          <t xml:space="preserve">United Kingdom</t>
        </is>
      </c>
      <c r="J6" s="4" t="inlineStr">
        <is>
          <t xml:space="preserve">Potential healthcare users</t>
        </is>
      </c>
      <c r="K6" s="4" t="inlineStr">
        <is>
          <t xml:space="preserve">Mixed methods: interviews plus online survey</t>
        </is>
      </c>
      <c r="L6" s="4" t="inlineStr">
        <is>
          <t xml:space="preserve">University recruitment for interviews; social-media survey</t>
        </is>
      </c>
      <c r="M6" s="4" t="inlineStr">
        <is>
          <t xml:space="preserve">29 interviews; survey abstract N = 216</t>
        </is>
      </c>
      <c r="N6" s="4" t="inlineStr">
        <is>
          <t xml:space="preserve"/>
        </is>
      </c>
      <c r="O6" s="4" t="inlineStr">
        <is>
          <t xml:space="preserve">29 interviews; 215 survey respondents analyzed</t>
        </is>
      </c>
      <c r="P6" s="4" t="inlineStr">
        <is>
          <t xml:space="preserve">244 across the two components</t>
        </is>
      </c>
      <c r="Q6" s="4" t="inlineStr">
        <is>
          <t xml:space="preserve">None</t>
        </is>
      </c>
      <c r="R6" s="4" t="inlineStr">
        <is>
          <t xml:space="preserve">Single interview/survey</t>
        </is>
      </c>
      <c r="S6" s="4" t="inlineStr">
        <is>
          <t xml:space="preserve">Semi-structured interview; 24-item survey</t>
        </is>
      </c>
      <c r="T6" s="4" t="inlineStr">
        <is>
          <t xml:space="preserve">Acceptability, perceived utility, trust, privacy/security and empathy concerns</t>
        </is>
      </c>
      <c r="U6" s="4" t="inlineStr">
        <is>
          <t xml:space="preserve">Willingness to use chatbots for information, appointment booking and service location</t>
        </is>
      </c>
      <c r="V6" s="4" t="inlineStr">
        <is>
          <t xml:space="preserve">Design requirements for uptake and person-centred implementation</t>
        </is>
      </c>
      <c r="W6" s="4" t="inlineStr">
        <is>
          <t xml:space="preserve">None measured</t>
        </is>
      </c>
      <c r="X6" s="4" t="inlineStr">
        <is>
          <t xml:space="preserve">Concerns about accuracy, cyber-security, confidentiality and lack of empathy</t>
        </is>
      </c>
      <c r="Y6" s="4" t="inlineStr">
        <is>
          <t xml:space="preserve">Convenience and social-media recruitment; largely hypothetical future use; exploratory unadjusted regressions.</t>
        </is>
      </c>
      <c r="Z6" s="4" t="inlineStr">
        <is>
          <t xml:space="preserve">Moderate</t>
        </is>
      </c>
      <c r="AA6" s="4" t="inlineStr">
        <is>
          <t xml:space="preserve">https://doi.org/10.1177/2055207619871808</t>
        </is>
      </c>
      <c r="AB6" s="4" t="inlineStr">
        <is>
          <t xml:space="preserve">bounded_healthcare_sample</t>
        </is>
      </c>
      <c r="AC6" s="4" t="inlineStr">
        <is>
          <t xml:space="preserve"/>
        </is>
      </c>
      <c r="AD6" s="4" t="inlineStr">
        <is>
          <t xml:space="preserve">Sixty-seven percent of survey respondents were likely to use a health chatbot; perceived utility and trustworthiness were associated with acceptability, while poor IT skills and dislike of computer interaction were barriers.</t>
        </is>
      </c>
      <c r="AE6" s="4" t="inlineStr">
        <is>
          <t xml:space="preserve">Publisher full text; component samples, acceptability estimate and main predictors verified.</t>
        </is>
      </c>
      <c r="AF6" s="4" t="inlineStr">
        <is>
          <t xml:space="preserve">Targeted primary full text recheck, 23 October 2026: Results; quantitative sub-study; Table 2. Scope: 29 interviews; 215 analyzed survey respondents. Abstract mentions 216; the analyzed survey table uses 215. Not a full independent appraisal.</t>
        </is>
      </c>
      <c r="AG6" s="4" t="inlineStr">
        <is>
          <t xml:space="preserve">Results; quantitative sub-study; Table 2</t>
        </is>
      </c>
      <c r="AH6" s="4" t="inlineStr">
        <is>
          <t xml:space="preserve"/>
        </is>
      </c>
    </row>
    <row r="7" ht="112" customHeight="1">
      <c r="A7" s="4" t="inlineStr">
        <is>
          <t xml:space="preserve">S03</t>
        </is>
      </c>
      <c r="B7" s="4" t="inlineStr">
        <is>
          <t xml:space="preserve">Kamita et al. (2019)</t>
        </is>
      </c>
      <c r="C7" s="5">
        <v>2019</v>
      </c>
      <c r="D7" s="4" t="inlineStr">
        <is>
          <t xml:space="preserve">SAT counseling chatbot</t>
        </is>
      </c>
      <c r="E7" s="4" t="inlineStr">
        <is>
          <t xml:space="preserve">Web-based text chatbot</t>
        </is>
      </c>
      <c r="F7" s="4" t="inlineStr">
        <is>
          <t xml:space="preserve">Rule-based/SAT counseling dialogue</t>
        </is>
      </c>
      <c r="G7" s="4" t="inlineStr">
        <is>
          <t xml:space="preserve">Mental health</t>
        </is>
      </c>
      <c r="H7" s="4" t="inlineStr">
        <is>
          <t xml:space="preserve">Short experimental evaluation</t>
        </is>
      </c>
      <c r="I7" s="4" t="inlineStr">
        <is>
          <t xml:space="preserve">Japan</t>
        </is>
      </c>
      <c r="J7" s="4" t="inlineStr">
        <is>
          <t xml:space="preserve">College students</t>
        </is>
      </c>
      <c r="K7" s="4" t="inlineStr">
        <is>
          <t xml:space="preserve">Randomized comparative experiment, one session</t>
        </is>
      </c>
      <c r="L7" s="4" t="inlineStr">
        <is>
          <t xml:space="preserve">Convenience experimental sample</t>
        </is>
      </c>
      <c r="M7" s="4" t="inlineStr">
        <is>
          <t xml:space="preserve">27</t>
        </is>
      </c>
      <c r="N7" s="4" t="inlineStr">
        <is>
          <t xml:space="preserve">27 (chatbot n = 15; web control n = 12); random assignment explicitly reported</t>
        </is>
      </c>
      <c r="O7" s="4" t="inlineStr">
        <is>
          <t xml:space="preserve">27</t>
        </is>
      </c>
      <c r="P7" s="4" t="inlineStr">
        <is>
          <t xml:space="preserve">Chatbot n = 15; web control n = 12</t>
        </is>
      </c>
      <c r="Q7" s="4" t="inlineStr">
        <is>
          <t xml:space="preserve">Nonconversational web-based counseling information</t>
        </is>
      </c>
      <c r="R7" s="4" t="inlineStr">
        <is>
          <t xml:space="preserve">Single short-use session</t>
        </is>
      </c>
      <c r="S7" s="4" t="inlineStr">
        <is>
          <t xml:space="preserve">Self-esteem, state anxiety and depressive-symptom measures; technology acceptance items</t>
        </is>
      </c>
      <c r="T7" s="4" t="inlineStr">
        <is>
          <t xml:space="preserve">Ease of use, behavioral intention and interaction experience</t>
        </is>
      </c>
      <c r="U7" s="4" t="inlineStr">
        <is>
          <t xml:space="preserve">None directly measured</t>
        </is>
      </c>
      <c r="V7" s="4" t="inlineStr">
        <is>
          <t xml:space="preserve">None directly measured</t>
        </is>
      </c>
      <c r="W7" s="4" t="inlineStr">
        <is>
          <t xml:space="preserve">Short-term within-session changes in self-esteem, anxiety and depressive symptoms</t>
        </is>
      </c>
      <c r="X7" s="4" t="inlineStr">
        <is>
          <t xml:space="preserve">Not a safety study</t>
        </is>
      </c>
      <c r="Y7" s="4" t="inlineStr">
        <is>
          <t xml:space="preserve">Very small sample (n = 27) and one-session outcomes; random assignment is explicitly reported. Allocation concealment and sequence-generation details are not established in the available verification.</t>
        </is>
      </c>
      <c r="Z7" s="4" t="inlineStr">
        <is>
          <t xml:space="preserve">Lower</t>
        </is>
      </c>
      <c r="AA7" s="4" t="inlineStr">
        <is>
          <t xml:space="preserve">https://doi.org/10.1155/2019/9517321</t>
        </is>
      </c>
      <c r="AB7" s="4" t="inlineStr">
        <is>
          <t xml:space="preserve">bounded_healthcare_sample</t>
        </is>
      </c>
      <c r="AC7" s="4" t="inlineStr">
        <is>
          <t xml:space="preserve">Random assignment is explicitly described; do not equate this with verified allocation concealment. Small sample and one-session follow-up remain limitations.</t>
        </is>
      </c>
      <c r="AD7" s="4" t="inlineStr">
        <is>
          <t xml:space="preserve">The chatbot group reported favorable short-term psychological and acceptance outcomes relative to its own baseline; the small sample prevents strong effectiveness conclusions.</t>
        </is>
      </c>
      <c r="AE7" s="4" t="inlineStr">
        <is>
          <t xml:space="preserve">Publisher full text; group sizes, design and short-term outcome domains verified.</t>
        </is>
      </c>
      <c r="AF7" s="4" t="inlineStr">
        <is>
          <t xml:space="preserve">Targeted primary full text in publisher indexed record check, 23 October 2026: Sections 6.2–6.3; Table 3. 27 students randomly assigned 15/12; one-session SAT course; pre/post mental measures and TAM-based user motivation; not longitudinal use. No independent human duplicate assessment.</t>
        </is>
      </c>
      <c r="AG7" s="4" t="inlineStr">
        <is>
          <t xml:space="preserve"/>
        </is>
      </c>
      <c r="AH7" s="4" t="inlineStr">
        <is>
          <t xml:space="preserve"/>
        </is>
      </c>
    </row>
    <row r="8" ht="99" customHeight="1">
      <c r="A8" s="4" t="inlineStr">
        <is>
          <t xml:space="preserve">S04</t>
        </is>
      </c>
      <c r="B8" s="4" t="inlineStr">
        <is>
          <t xml:space="preserve">Tielman et al. (2019)</t>
        </is>
      </c>
      <c r="C8" s="5">
        <v>2019</v>
      </c>
      <c r="D8" s="4" t="inlineStr">
        <is>
          <t xml:space="preserve">Autonomous e-mental health virtual agent/referral scenarios</t>
        </is>
      </c>
      <c r="E8" s="4" t="inlineStr">
        <is>
          <t xml:space="preserve">Virtual-agent vignettes</t>
        </is>
      </c>
      <c r="F8" s="4" t="inlineStr">
        <is>
          <t xml:space="preserve">Scenario-based referral strategies</t>
        </is>
      </c>
      <c r="G8" s="4" t="inlineStr">
        <is>
          <t xml:space="preserve">Mental health safety and escalation</t>
        </is>
      </c>
      <c r="H8" s="4" t="inlineStr">
        <is>
          <t xml:space="preserve">Expert interviews and crowdsourced vignette experiment</t>
        </is>
      </c>
      <c r="I8" s="4" t="inlineStr">
        <is>
          <t xml:space="preserve">Netherlands/online international sample</t>
        </is>
      </c>
      <c r="J8" s="4" t="inlineStr">
        <is>
          <t xml:space="preserve">Experts and potential users</t>
        </is>
      </c>
      <c r="K8" s="4" t="inlineStr">
        <is>
          <t xml:space="preserve">Formative qualitative study plus factorial vignette experiment</t>
        </is>
      </c>
      <c r="L8" s="4" t="inlineStr">
        <is>
          <t xml:space="preserve">Expert recruitment and Amazon Mechanical Turk</t>
        </is>
      </c>
      <c r="M8" s="4" t="inlineStr">
        <is>
          <t xml:space="preserve">8 experts; 229 online participants recruited</t>
        </is>
      </c>
      <c r="N8" s="4" t="inlineStr">
        <is>
          <t xml:space="preserve">Factorial vignette assignment</t>
        </is>
      </c>
      <c r="O8" s="4" t="inlineStr">
        <is>
          <t xml:space="preserve">160 online participants included</t>
        </is>
      </c>
      <c r="P8" s="4" t="inlineStr">
        <is>
          <t xml:space="preserve">8 experts; 160 participants</t>
        </is>
      </c>
      <c r="Q8" s="4" t="inlineStr">
        <is>
          <t xml:space="preserve">Alternative risk severity, agent response and referral strategies</t>
        </is>
      </c>
      <c r="R8" s="4" t="inlineStr">
        <is>
          <t xml:space="preserve">Single vignette experiment</t>
        </is>
      </c>
      <c r="S8" s="4" t="inlineStr">
        <is>
          <t xml:space="preserve">Self-referral intention, intention to return and feeling heard</t>
        </is>
      </c>
      <c r="T8" s="4" t="inlineStr">
        <is>
          <t xml:space="preserve">Perceived support, return intention and referral intention</t>
        </is>
      </c>
      <c r="U8" s="4" t="inlineStr">
        <is>
          <t xml:space="preserve">Hypothetical intended referral, not completed handoff</t>
        </is>
      </c>
      <c r="V8" s="4" t="inlineStr">
        <is>
          <t xml:space="preserve">Human-care handoff strategy</t>
        </is>
      </c>
      <c r="W8" s="4" t="inlineStr">
        <is>
          <t xml:space="preserve">None measured</t>
        </is>
      </c>
      <c r="X8" s="4" t="inlineStr">
        <is>
          <t xml:space="preserve">Referral-intention proxy, not actual referral or harm</t>
        </is>
      </c>
      <c r="Y8" s="4" t="inlineStr">
        <is>
          <t xml:space="preserve">Vignette-based behavior, crowdsourced sample and no real clinical event or referral completion.</t>
        </is>
      </c>
      <c r="Z8" s="4" t="inlineStr">
        <is>
          <t xml:space="preserve">Moderate</t>
        </is>
      </c>
      <c r="AA8" s="4" t="inlineStr">
        <is>
          <t xml:space="preserve">https://doi.org/10.1186/s12911-019-0796-x</t>
        </is>
      </c>
      <c r="AB8" s="4" t="inlineStr">
        <is>
          <t xml:space="preserve">bounded_healthcare_sample</t>
        </is>
      </c>
      <c r="AC8" s="4" t="inlineStr">
        <is>
          <t xml:space="preserve">An empirical virtual-agent experiment measured intention to self-refer, not actual referral or avoided harm.</t>
        </is>
      </c>
      <c r="AD8" s="4" t="inlineStr">
        <is>
          <t xml:space="preserve">How the virtual agent communicated and referred users affected perceived support and willingness to seek or return to care; the evidence concerns hypothetical scenarios rather than deployed clinical outcomes.</t>
        </is>
      </c>
      <c r="AE8" s="4" t="inlineStr">
        <is>
          <t xml:space="preserve">Publisher full text; expert sample, recruited/analyzed online sample and factorial design verified.</t>
        </is>
      </c>
      <c r="AF8" s="4" t="inlineStr">
        <is>
          <t xml:space="preserve">Targeted primary full text recheck, 23 October 2026: Experimental method; dependent measures. Scope: 160 participants in referral-intention experiment; intended self-referral, not verified completed referral. Not a full independent appraisal.</t>
        </is>
      </c>
      <c r="AG8" s="4" t="inlineStr">
        <is>
          <t xml:space="preserve">Experimental method; dependent measures</t>
        </is>
      </c>
      <c r="AH8" s="4" t="inlineStr">
        <is>
          <t xml:space="preserve"/>
        </is>
      </c>
    </row>
    <row r="9" ht="112" customHeight="1">
      <c r="A9" s="4" t="inlineStr">
        <is>
          <t xml:space="preserve">S05</t>
        </is>
      </c>
      <c r="B9" s="4" t="inlineStr">
        <is>
          <t xml:space="preserve">Bibault et al. (2019)</t>
        </is>
      </c>
      <c r="C9" s="5">
        <v>2019</v>
      </c>
      <c r="D9" s="4" t="inlineStr">
        <is>
          <t xml:space="preserve">Vik</t>
        </is>
      </c>
      <c r="E9" s="4" t="inlineStr">
        <is>
          <t xml:space="preserve">Web-based text responses</t>
        </is>
      </c>
      <c r="F9" s="4" t="inlineStr">
        <is>
          <t xml:space="preserve">NLP/ML-supported oncology information chatbot</t>
        </is>
      </c>
      <c r="G9" s="4" t="inlineStr">
        <is>
          <t xml:space="preserve">Oncology information service</t>
        </is>
      </c>
      <c r="H9" s="4" t="inlineStr">
        <is>
          <t xml:space="preserve">Breast-cancer patient information</t>
        </is>
      </c>
      <c r="I9" s="4" t="inlineStr">
        <is>
          <t xml:space="preserve">France</t>
        </is>
      </c>
      <c r="J9" s="4" t="inlineStr">
        <is>
          <t xml:space="preserve">Women with breast cancer</t>
        </is>
      </c>
      <c r="K9" s="4" t="inlineStr">
        <is>
          <t xml:space="preserve">Blind randomized noninferiority trial</t>
        </is>
      </c>
      <c r="L9" s="4" t="inlineStr">
        <is>
          <t xml:space="preserve">Breast-cancer patient association</t>
        </is>
      </c>
      <c r="M9" s="4" t="inlineStr">
        <is>
          <t xml:space="preserve">142</t>
        </is>
      </c>
      <c r="N9" s="4" t="inlineStr">
        <is>
          <t xml:space="preserve">142 (71/71)</t>
        </is>
      </c>
      <c r="O9" s="4" t="inlineStr">
        <is>
          <t xml:space="preserve">142</t>
        </is>
      </c>
      <c r="P9" s="4" t="inlineStr">
        <is>
          <t xml:space="preserve">142</t>
        </is>
      </c>
      <c r="Q9" s="4" t="inlineStr">
        <is>
          <t xml:space="preserve">Multidisciplinary physicians’ written answers</t>
        </is>
      </c>
      <c r="R9" s="4" t="inlineStr">
        <is>
          <t xml:space="preserve">Single information assessment</t>
        </is>
      </c>
      <c r="S9" s="4" t="inlineStr">
        <is>
          <t xml:space="preserve">Adapted EORTC QLQ-INFO25</t>
        </is>
      </c>
      <c r="T9" s="4" t="inlineStr">
        <is>
          <t xml:space="preserve">Information satisfaction and perceived helpfulness</t>
        </is>
      </c>
      <c r="U9" s="4" t="inlineStr">
        <is>
          <t xml:space="preserve">Information satisfaction, not operational effectiveness</t>
        </is>
      </c>
      <c r="V9" s="4" t="inlineStr">
        <is>
          <t xml:space="preserve">Potential adjunct to clinician information workload; not directly measured</t>
        </is>
      </c>
      <c r="W9" s="4" t="inlineStr">
        <is>
          <t xml:space="preserve">None measured</t>
        </is>
      </c>
      <c r="X9" s="4" t="inlineStr">
        <is>
          <t xml:space="preserve">No direct safety/accuracy endpoint; information satisfaction</t>
        </is>
      </c>
      <c r="Y9" s="4" t="inlineStr">
        <is>
          <t xml:space="preserve">Predetermined questions and responses rather than natural live conversation; selected digitally literate population; no clinical outcome.</t>
        </is>
      </c>
      <c r="Z9" s="4" t="inlineStr">
        <is>
          <t xml:space="preserve">Higher</t>
        </is>
      </c>
      <c r="AA9" s="4" t="inlineStr">
        <is>
          <t xml:space="preserve">https://doi.org/10.2196/15787</t>
        </is>
      </c>
      <c r="AB9" s="4" t="inlineStr">
        <is>
          <t xml:space="preserve">bounded_healthcare_sample</t>
        </is>
      </c>
      <c r="AC9" s="4" t="inlineStr">
        <is>
          <t xml:space="preserve">Primary endpoint is information satisfaction, not observed safety or response accuracy.</t>
        </is>
      </c>
      <c r="AD9" s="4" t="inlineStr">
        <is>
          <t xml:space="preserve">Success rates were 69% for Vik and 64% for physician answers, meeting the prespecified noninferiority criterion for the overall information-satisfaction outcome.</t>
        </is>
      </c>
      <c r="AE9" s="4" t="inlineStr">
        <is>
          <t xml:space="preserve">Publisher full text; randomization, completion, outcome and noninferiority result verified.</t>
        </is>
      </c>
      <c r="AF9" s="4" t="inlineStr">
        <is>
          <t xml:space="preserve">Targeted primary full text recheck, 23 October 2026: Methods: Procedures/Outcomes; Results. Scope: 142 randomized 71/71; overall information-satisfaction noninferiority with 10% margin, 69% versus 64% success; predefined prechecked answers. Not a full independent appraisal.</t>
        </is>
      </c>
      <c r="AG9" s="4" t="inlineStr">
        <is>
          <t xml:space="preserve">Methods: Procedures/Outcomes; Results</t>
        </is>
      </c>
      <c r="AH9" s="4" t="inlineStr">
        <is>
          <t xml:space="preserve"/>
        </is>
      </c>
    </row>
    <row r="10" ht="73" customHeight="1">
      <c r="A10" s="4" t="inlineStr">
        <is>
          <t xml:space="preserve">S06</t>
        </is>
      </c>
      <c r="B10" s="4" t="inlineStr">
        <is>
          <t xml:space="preserve">Kocaballi et al. (2020)</t>
        </is>
      </c>
      <c r="C10" s="5">
        <v>2020</v>
      </c>
      <c r="D10" s="4" t="inlineStr">
        <is>
          <t xml:space="preserve">Eight commercially available conversational agents</t>
        </is>
      </c>
      <c r="E10" s="4" t="inlineStr">
        <is>
          <t xml:space="preserve">Voice/text assistant responses</t>
        </is>
      </c>
      <c r="F10" s="4" t="inlineStr">
        <is>
          <t xml:space="preserve">Commercial general-purpose conversational agents</t>
        </is>
      </c>
      <c r="G10" s="4" t="inlineStr">
        <is>
          <t xml:space="preserve">Medical information and safety</t>
        </is>
      </c>
      <c r="H10" s="4" t="inlineStr">
        <is>
          <t xml:space="preserve">Standardized prompt evaluation</t>
        </is>
      </c>
      <c r="I10" s="4" t="inlineStr">
        <is>
          <t xml:space="preserve">Australia-based research; global products</t>
        </is>
      </c>
      <c r="J10" s="4" t="inlineStr">
        <is>
          <t xml:space="preserve">Potential consumers</t>
        </is>
      </c>
      <c r="K10" s="4" t="inlineStr">
        <is>
          <t xml:space="preserve">Content/response evaluation</t>
        </is>
      </c>
      <c r="L10" s="4" t="inlineStr">
        <is>
          <t xml:space="preserve">Not applicable</t>
        </is>
      </c>
      <c r="M10" s="4" t="inlineStr">
        <is>
          <t xml:space="preserve">30 prompts</t>
        </is>
      </c>
      <c r="N10" s="4" t="inlineStr">
        <is>
          <t xml:space="preserve"/>
        </is>
      </c>
      <c r="O10" s="4" t="inlineStr">
        <is>
          <t xml:space="preserve">240 agent responses</t>
        </is>
      </c>
      <c r="P10" s="4" t="inlineStr">
        <is>
          <t xml:space="preserve">240 responses</t>
        </is>
      </c>
      <c r="Q10" s="4" t="inlineStr">
        <is>
          <t xml:space="preserve">Across agents and prompt categories</t>
        </is>
      </c>
      <c r="R10" s="4" t="inlineStr">
        <is>
          <t xml:space="preserve">Point-in-time test</t>
        </is>
      </c>
      <c r="S10" s="4" t="inlineStr">
        <is>
          <t xml:space="preserve">Appropriateness and presentation-structure coding</t>
        </is>
      </c>
      <c r="T10" s="4" t="inlineStr">
        <is>
          <t xml:space="preserve">Not directly measured</t>
        </is>
      </c>
      <c r="U10" s="4" t="inlineStr">
        <is>
          <t xml:space="preserve">Appropriateness and presentation of responses</t>
        </is>
      </c>
      <c r="V10" s="4" t="inlineStr">
        <is>
          <t xml:space="preserve">None directly measured</t>
        </is>
      </c>
      <c r="W10" s="4" t="inlineStr">
        <is>
          <t xml:space="preserve">None measured</t>
        </is>
      </c>
      <c r="X10" s="4" t="inlineStr">
        <is>
          <t xml:space="preserve">Safety-critical response appropriateness</t>
        </is>
      </c>
      <c r="Y10" s="4" t="inlineStr">
        <is>
          <t xml:space="preserve">Point-in-time product test; no user behavior or clinical outcomes; results may change with software updates.</t>
        </is>
      </c>
      <c r="Z10" s="4" t="inlineStr">
        <is>
          <t xml:space="preserve">Moderate</t>
        </is>
      </c>
      <c r="AA10" s="4" t="inlineStr">
        <is>
          <t xml:space="preserve">https://doi.org/10.2196/15823</t>
        </is>
      </c>
      <c r="AB10" s="4" t="inlineStr">
        <is>
          <t xml:space="preserve">contextual_assistant_benchmark</t>
        </is>
      </c>
      <c r="AC10" s="4" t="inlineStr">
        <is>
          <t xml:space="preserve">Apply the health-specific system/care-pathway rule consistently.</t>
        </is>
      </c>
      <c r="AD10" s="4" t="inlineStr">
        <is>
          <t xml:space="preserve">Only a minority of responses to safety-critical and lifestyle prompts were judged appropriate, showing that general-purpose agents should not be assumed to provide reliable health guidance.</t>
        </is>
      </c>
      <c r="AE10" s="4" t="inlineStr">
        <is>
          <t xml:space="preserve">Publisher full text; agents, prompt count, response count and appropriateness focus verified.</t>
        </is>
      </c>
      <c r="AF10" s="4" t="inlineStr">
        <is>
          <t xml:space="preserve">Targeted primary-source check in this revision</t>
        </is>
      </c>
      <c r="AG10" s="4" t="inlineStr">
        <is>
          <t xml:space="preserve"/>
        </is>
      </c>
      <c r="AH10" s="4" t="inlineStr">
        <is>
          <t xml:space="preserve"/>
        </is>
      </c>
    </row>
    <row r="11" ht="60" customHeight="1">
      <c r="A11" s="4" t="inlineStr">
        <is>
          <t xml:space="preserve">S07</t>
        </is>
      </c>
      <c r="B11" s="4" t="inlineStr">
        <is>
          <t xml:space="preserve">Ferrand et al. (2020)</t>
        </is>
      </c>
      <c r="C11" s="5">
        <v>2020</v>
      </c>
      <c r="D11" s="4" t="inlineStr">
        <is>
          <t xml:space="preserve">Four smart assistants</t>
        </is>
      </c>
      <c r="E11" s="4" t="inlineStr">
        <is>
          <t xml:space="preserve">Voice assistant responses</t>
        </is>
      </c>
      <c r="F11" s="4" t="inlineStr">
        <is>
          <t xml:space="preserve">Commercial smart assistants</t>
        </is>
      </c>
      <c r="G11" s="4" t="inlineStr">
        <is>
          <t xml:space="preserve">Vaccination information</t>
        </is>
      </c>
      <c r="H11" s="4" t="inlineStr">
        <is>
          <t xml:space="preserve">Standardized HPV-vaccine questions</t>
        </is>
      </c>
      <c r="I11" s="4" t="inlineStr">
        <is>
          <t xml:space="preserve">United States</t>
        </is>
      </c>
      <c r="J11" s="4" t="inlineStr">
        <is>
          <t xml:space="preserve">Potential consumers</t>
        </is>
      </c>
      <c r="K11" s="4" t="inlineStr">
        <is>
          <t xml:space="preserve">Content analysis</t>
        </is>
      </c>
      <c r="L11" s="4" t="inlineStr">
        <is>
          <t xml:space="preserve">Not applicable</t>
        </is>
      </c>
      <c r="M11" s="4" t="inlineStr">
        <is>
          <t xml:space="preserve">10 questions across four assistants</t>
        </is>
      </c>
      <c r="N11" s="4" t="inlineStr">
        <is>
          <t xml:space="preserve"/>
        </is>
      </c>
      <c r="O11" s="4" t="inlineStr">
        <is>
          <t xml:space="preserve">103 analyzable responses</t>
        </is>
      </c>
      <c r="P11" s="4" t="inlineStr">
        <is>
          <t xml:space="preserve">103 responses</t>
        </is>
      </c>
      <c r="Q11" s="4" t="inlineStr">
        <is>
          <t xml:space="preserve">Across assistants/questions</t>
        </is>
      </c>
      <c r="R11" s="4" t="inlineStr">
        <is>
          <t xml:space="preserve">Point-in-time test</t>
        </is>
      </c>
      <c r="S11" s="4" t="inlineStr">
        <is>
          <t xml:space="preserve">Accuracy and misinformation coding</t>
        </is>
      </c>
      <c r="T11" s="4" t="inlineStr">
        <is>
          <t xml:space="preserve">Not directly measured</t>
        </is>
      </c>
      <c r="U11" s="4" t="inlineStr">
        <is>
          <t xml:space="preserve">Accuracy of vaccination information</t>
        </is>
      </c>
      <c r="V11" s="4" t="inlineStr">
        <is>
          <t xml:space="preserve">None directly measured</t>
        </is>
      </c>
      <c r="W11" s="4" t="inlineStr">
        <is>
          <t xml:space="preserve">None measured</t>
        </is>
      </c>
      <c r="X11" s="4" t="inlineStr">
        <is>
          <t xml:space="preserve">Misinformation risk</t>
        </is>
      </c>
      <c r="Y11" s="4" t="inlineStr">
        <is>
          <t xml:space="preserve">No user behavior or clinical outcome; limited question set; product responses can change over time.</t>
        </is>
      </c>
      <c r="Z11" s="4" t="inlineStr">
        <is>
          <t xml:space="preserve">Moderate</t>
        </is>
      </c>
      <c r="AA11" s="4" t="inlineStr">
        <is>
          <t xml:space="preserve">https://doi.org/10.2196/19018</t>
        </is>
      </c>
      <c r="AB11" s="4" t="inlineStr">
        <is>
          <t xml:space="preserve">contextual_assistant_benchmark</t>
        </is>
      </c>
      <c r="AC11" s="4" t="inlineStr">
        <is>
          <t xml:space="preserve">Assistant response accuracy is contextual benchmark evidence, not a dedicated healthcare-service intervention.</t>
        </is>
      </c>
      <c r="AD11" s="4" t="inlineStr">
        <is>
          <t xml:space="preserve">Across analyzed responses, 61.2% were accurate and 17.5% contained misinformation, indicating material information-safety limitations.</t>
        </is>
      </c>
      <c r="AE11" s="4" t="inlineStr">
        <is>
          <t xml:space="preserve">Publisher full text; question set, response count and accuracy/misinformation results verified.</t>
        </is>
      </c>
      <c r="AF11" s="4" t="inlineStr">
        <is>
          <t xml:space="preserve">Targeted primary-source check in this revision</t>
        </is>
      </c>
      <c r="AG11" s="4" t="inlineStr">
        <is>
          <t xml:space="preserve"/>
        </is>
      </c>
      <c r="AH11" s="4" t="inlineStr">
        <is>
          <t xml:space="preserve"/>
        </is>
      </c>
    </row>
    <row r="12" ht="99" customHeight="1">
      <c r="A12" s="4" t="inlineStr">
        <is>
          <t xml:space="preserve">S08</t>
        </is>
      </c>
      <c r="B12" s="4" t="inlineStr">
        <is>
          <t xml:space="preserve">Koman et al. (2020)</t>
        </is>
      </c>
      <c r="C12" s="5">
        <v>2020</v>
      </c>
      <c r="D12" s="4" t="inlineStr">
        <is>
          <t xml:space="preserve">Information-seeking chatbot prototype</t>
        </is>
      </c>
      <c r="E12" s="4" t="inlineStr">
        <is>
          <t xml:space="preserve">Text chatbot demonstration/interview</t>
        </is>
      </c>
      <c r="F12" s="4" t="inlineStr">
        <is>
          <t xml:space="preserve">Prototype conversational information tool</t>
        </is>
      </c>
      <c r="G12" s="4" t="inlineStr">
        <is>
          <t xml:space="preserve">Professional medical information</t>
        </is>
      </c>
      <c r="H12" s="4" t="inlineStr">
        <is>
          <t xml:space="preserve">Primary/specialist care physicians</t>
        </is>
      </c>
      <c r="I12" s="4" t="inlineStr">
        <is>
          <t xml:space="preserve">France</t>
        </is>
      </c>
      <c r="J12" s="4" t="inlineStr">
        <is>
          <t xml:space="preserve">Physicians</t>
        </is>
      </c>
      <c r="K12" s="4" t="inlineStr">
        <is>
          <t xml:space="preserve">Qualitative interviews</t>
        </is>
      </c>
      <c r="L12" s="4" t="inlineStr">
        <is>
          <t xml:space="preserve">Purposive physician recruitment</t>
        </is>
      </c>
      <c r="M12" s="4" t="inlineStr">
        <is>
          <t xml:space="preserve">10</t>
        </is>
      </c>
      <c r="N12" s="4" t="inlineStr">
        <is>
          <t xml:space="preserve"/>
        </is>
      </c>
      <c r="O12" s="4" t="inlineStr">
        <is>
          <t xml:space="preserve">10</t>
        </is>
      </c>
      <c r="P12" s="4" t="inlineStr">
        <is>
          <t xml:space="preserve">8 general practitioners; 2 specialists</t>
        </is>
      </c>
      <c r="Q12" s="4" t="inlineStr">
        <is>
          <t xml:space="preserve">None</t>
        </is>
      </c>
      <c r="R12" s="4" t="inlineStr">
        <is>
          <t xml:space="preserve">Single demonstration and interview</t>
        </is>
      </c>
      <c r="S12" s="4" t="inlineStr">
        <is>
          <t xml:space="preserve">Semi-structured interviews/thematic analysis</t>
        </is>
      </c>
      <c r="T12" s="4" t="inlineStr">
        <is>
          <t xml:space="preserve">Perceived usability, trust and information quality</t>
        </is>
      </c>
      <c r="U12" s="4" t="inlineStr">
        <is>
          <t xml:space="preserve">Potential professional information-seeking support</t>
        </is>
      </c>
      <c r="V12" s="4" t="inlineStr">
        <is>
          <t xml:space="preserve">Possible workflow fit and adoption requirements</t>
        </is>
      </c>
      <c r="W12" s="4" t="inlineStr">
        <is>
          <t xml:space="preserve">None measured</t>
        </is>
      </c>
      <c r="X12" s="4" t="inlineStr">
        <is>
          <t xml:space="preserve">Need for trustworthy and exhaustive responses</t>
        </is>
      </c>
      <c r="Y12" s="4" t="inlineStr">
        <is>
          <t xml:space="preserve">Small localized qualitative sample and prototype exposure; no implementation or performance outcomes.</t>
        </is>
      </c>
      <c r="Z12" s="4" t="inlineStr">
        <is>
          <t xml:space="preserve">Moderate</t>
        </is>
      </c>
      <c r="AA12" s="4" t="inlineStr">
        <is>
          <t xml:space="preserve">https://doi.org/10.2196/15185</t>
        </is>
      </c>
      <c r="AB12" s="4" t="inlineStr">
        <is>
          <t xml:space="preserve">bounded_healthcare_sample</t>
        </is>
      </c>
      <c r="AC12" s="4" t="inlineStr">
        <is>
          <t xml:space="preserve"/>
        </is>
      </c>
      <c r="AD12" s="4" t="inlineStr">
        <is>
          <t xml:space="preserve">Physicians valued conversational tone and ergonomics but emphasized that professional adoption depends on exhaustive, reliable and transparent information.</t>
        </is>
      </c>
      <c r="AE12" s="4" t="inlineStr">
        <is>
          <t xml:space="preserve">Publisher full text; sample composition, design and principal themes verified.</t>
        </is>
      </c>
      <c r="AF12" s="4" t="inlineStr">
        <is>
          <t xml:space="preserve">Targeted primary full text recheck, 23 October 2026: Results: Demographics; Discussion. Scope: 10 French healthcare professionals interviewed about information-seeking chatbot; qualitative user evidence. Not a full independent appraisal.</t>
        </is>
      </c>
      <c r="AG12" s="4" t="inlineStr">
        <is>
          <t xml:space="preserve">Results: Demographics; Discussion</t>
        </is>
      </c>
      <c r="AH12" s="4" t="inlineStr">
        <is>
          <t xml:space="preserve"/>
        </is>
      </c>
    </row>
    <row r="13" ht="99" customHeight="1">
      <c r="A13" s="4" t="inlineStr">
        <is>
          <t xml:space="preserve">S09</t>
        </is>
      </c>
      <c r="B13" s="4" t="inlineStr">
        <is>
          <t xml:space="preserve">Daley et al. (2020)</t>
        </is>
      </c>
      <c r="C13" s="5">
        <v>2020</v>
      </c>
      <c r="D13" s="4" t="inlineStr">
        <is>
          <t xml:space="preserve">Vitalk (Viki)</t>
        </is>
      </c>
      <c r="E13" s="4" t="inlineStr">
        <is>
          <t xml:space="preserve">Instant-messenger text chatbot</t>
        </is>
      </c>
      <c r="F13" s="4" t="inlineStr">
        <is>
          <t xml:space="preserve">Scripted CBT/positive-psychology content with NLU triggers</t>
        </is>
      </c>
      <c r="G13" s="4" t="inlineStr">
        <is>
          <t xml:space="preserve">Mental health</t>
        </is>
      </c>
      <c r="H13" s="4" t="inlineStr">
        <is>
          <t xml:space="preserve">Real-world consumer use</t>
        </is>
      </c>
      <c r="I13" s="4" t="inlineStr">
        <is>
          <t xml:space="preserve">Brazil</t>
        </is>
      </c>
      <c r="J13" s="4" t="inlineStr">
        <is>
          <t xml:space="preserve">Adult Portuguese-speaking users</t>
        </is>
      </c>
      <c r="K13" s="4" t="inlineStr">
        <is>
          <t xml:space="preserve">Uncontrolled real-world pre-post analysis</t>
        </is>
      </c>
      <c r="L13" s="4" t="inlineStr">
        <is>
          <t xml:space="preserve">Voluntary users who installed Vitalk between June and November 2019; retrospective selection of first-phase completers</t>
        </is>
      </c>
      <c r="M13" s="4" t="inlineStr">
        <is>
          <t xml:space="preserve">Not reported; the initial installation/enrollment denominator is unavailable</t>
        </is>
      </c>
      <c r="N13" s="4" t="inlineStr">
        <is>
          <t xml:space="preserve">Not applicable (nonrandomized retrospective analysis)</t>
        </is>
      </c>
      <c r="O13" s="4" t="inlineStr">
        <is>
          <t xml:space="preserve">3,629 first-phase (30-day) completers</t>
        </is>
      </c>
      <c r="P13" s="4" t="inlineStr">
        <is>
          <t xml:space="preserve">3,629 completers; anxiety 1,648, depression 1,243, stress 738</t>
        </is>
      </c>
      <c r="Q13" s="4" t="inlineStr">
        <is>
          <t xml:space="preserve">None</t>
        </is>
      </c>
      <c r="R13" s="4" t="inlineStr">
        <is>
          <t xml:space="preserve">30-day first program phase</t>
        </is>
      </c>
      <c r="S13" s="4" t="inlineStr">
        <is>
          <t xml:space="preserve">GAD-7, PHQ-9, DASS-21 stress subscale; engagement rate</t>
        </is>
      </c>
      <c r="T13" s="4" t="inlineStr">
        <is>
          <t xml:space="preserve">Engagement and response frequency</t>
        </is>
      </c>
      <c r="U13" s="4" t="inlineStr">
        <is>
          <t xml:space="preserve">Scalable access to self-help content</t>
        </is>
      </c>
      <c r="V13" s="4" t="inlineStr">
        <is>
          <t xml:space="preserve">None directly measured</t>
        </is>
      </c>
      <c r="W13" s="4" t="inlineStr">
        <is>
          <t xml:space="preserve">Pre-post symptom change in anxiety, depression and stress</t>
        </is>
      </c>
      <c r="X13" s="4" t="inlineStr">
        <is>
          <t xml:space="preserve">Crisis-information module and human follow-up pathway described</t>
        </is>
      </c>
      <c r="Y13" s="4" t="inlineStr">
        <is>
          <t xml:space="preserve">Self-selected users, completer analysis, no control, limited demographic data and regression based on observational engagement.</t>
        </is>
      </c>
      <c r="Z13" s="4" t="inlineStr">
        <is>
          <t xml:space="preserve">Lower</t>
        </is>
      </c>
      <c r="AA13" s="4" t="inlineStr">
        <is>
          <t xml:space="preserve">https://doi.org/10.3389/fdgth.2020.576361</t>
        </is>
      </c>
      <c r="AB13" s="4" t="inlineStr">
        <is>
          <t xml:space="preserve">bounded_healthcare_sample</t>
        </is>
      </c>
      <c r="AC13" s="4" t="inlineStr">
        <is>
          <t xml:space="preserve">3,629 is the analyzed first-phase completer cohort, not the recruited population. The initial recruitment denominator is not reported.</t>
        </is>
      </c>
      <c r="AD13" s="4" t="inlineStr">
        <is>
          <t xml:space="preserve">Users completing a 30-day program phase showed large pre-post symptom reductions and higher engagement was associated with better anxiety and depression outcomes; without a control group, change cannot be attributed confidently to the chatbot.</t>
        </is>
      </c>
      <c r="AE13" s="4" t="inlineStr">
        <is>
          <t xml:space="preserve">Publisher full text; n = 3,629, 30-day exposure, measures and main pre-post results verified.</t>
        </is>
      </c>
      <c r="AF13" s="4" t="inlineStr">
        <is>
          <t xml:space="preserve">Primary full text rechecked on 23 October 2026: Abstract, Methods—Participants, and Results—Symptom Change; no initial recruitment denominator is reported.</t>
        </is>
      </c>
      <c r="AG13" s="4" t="inlineStr">
        <is>
          <t xml:space="preserve">Abstract; Methods—Participants; Results—Symptom Change</t>
        </is>
      </c>
      <c r="AH13" s="4" t="inlineStr">
        <is>
          <t xml:space="preserve"/>
        </is>
      </c>
    </row>
    <row r="14" ht="86" customHeight="1">
      <c r="A14" s="4" t="inlineStr">
        <is>
          <t xml:space="preserve">S10</t>
        </is>
      </c>
      <c r="B14" s="4" t="inlineStr">
        <is>
          <t xml:space="preserve">Cheng and Jiang (2020)</t>
        </is>
      </c>
      <c r="C14" s="5">
        <v>2020</v>
      </c>
      <c r="D14" s="4" t="inlineStr">
        <is>
          <t xml:space="preserve">AI-powered mental-health chatbot services</t>
        </is>
      </c>
      <c r="E14" s="4" t="inlineStr">
        <is>
          <t xml:space="preserve">User-reported chatbot use</t>
        </is>
      </c>
      <c r="F14" s="4" t="inlineStr">
        <is>
          <t xml:space="preserve">Multiple service platforms</t>
        </is>
      </c>
      <c r="G14" s="4" t="inlineStr">
        <is>
          <t xml:space="preserve">Mental health/crisis communication</t>
        </is>
      </c>
      <c r="H14" s="4" t="inlineStr">
        <is>
          <t xml:space="preserve">Post-disaster mental-health information context</t>
        </is>
      </c>
      <c r="I14" s="4" t="inlineStr">
        <is>
          <t xml:space="preserve">United States</t>
        </is>
      </c>
      <c r="J14" s="4" t="inlineStr">
        <is>
          <t xml:space="preserve">Chatbot users</t>
        </is>
      </c>
      <c r="K14" s="4" t="inlineStr">
        <is>
          <t xml:space="preserve">Cross-sectional survey</t>
        </is>
      </c>
      <c r="L14" s="4" t="inlineStr">
        <is>
          <t xml:space="preserve">Online panel/users with prior chatbot experience</t>
        </is>
      </c>
      <c r="M14" s="4" t="inlineStr">
        <is>
          <t xml:space="preserve">1,114</t>
        </is>
      </c>
      <c r="N14" s="4" t="inlineStr">
        <is>
          <t xml:space="preserve"/>
        </is>
      </c>
      <c r="O14" s="4" t="inlineStr">
        <is>
          <t xml:space="preserve">1,114</t>
        </is>
      </c>
      <c r="P14" s="4" t="inlineStr">
        <is>
          <t xml:space="preserve">1,114</t>
        </is>
      </c>
      <c r="Q14" s="4" t="inlineStr">
        <is>
          <t xml:space="preserve">None</t>
        </is>
      </c>
      <c r="R14" s="4" t="inlineStr">
        <is>
          <t xml:space="preserve">Single survey</t>
        </is>
      </c>
      <c r="S14" s="4" t="inlineStr">
        <is>
          <t xml:space="preserve">Motivation, communicative action and engagement constructs</t>
        </is>
      </c>
      <c r="T14" s="4" t="inlineStr">
        <is>
          <t xml:space="preserve">Motivations, active communication and engagement</t>
        </is>
      </c>
      <c r="U14" s="4" t="inlineStr">
        <is>
          <t xml:space="preserve">Crisis-related information/support engagement</t>
        </is>
      </c>
      <c r="V14" s="4" t="inlineStr">
        <is>
          <t xml:space="preserve">Communication strategy implications</t>
        </is>
      </c>
      <c r="W14" s="4" t="inlineStr">
        <is>
          <t xml:space="preserve">None measured</t>
        </is>
      </c>
      <c r="X14" s="4" t="inlineStr">
        <is>
          <t xml:space="preserve">Sensitive post-disaster context; no clinical safety assessment</t>
        </is>
      </c>
      <c r="Y14" s="4" t="inlineStr">
        <is>
          <t xml:space="preserve">Cross-sectional self-report, retrospective platform use and no clinical outcome or verified usage logs.</t>
        </is>
      </c>
      <c r="Z14" s="4" t="inlineStr">
        <is>
          <t xml:space="preserve">Moderate</t>
        </is>
      </c>
      <c r="AA14" s="4" t="inlineStr">
        <is>
          <t xml:space="preserve">https://doi.org/10.1111/1468-5973.12319</t>
        </is>
      </c>
      <c r="AB14" s="4" t="inlineStr">
        <is>
          <t xml:space="preserve">bounded_healthcare_sample</t>
        </is>
      </c>
      <c r="AC14" s="4" t="inlineStr">
        <is>
          <t xml:space="preserve"/>
        </is>
      </c>
      <c r="AD14" s="4" t="inlineStr">
        <is>
          <t xml:space="preserve">The study linked user motivations and active communicative behaviors with engagement in AI-powered mental-health chatbot services.</t>
        </is>
      </c>
      <c r="AE14" s="4" t="inlineStr">
        <is>
          <t xml:space="preserve">Publisher metadata/abstract and audited reference; sample and analytical focus verified.</t>
        </is>
      </c>
      <c r="AF14" s="4" t="inlineStr">
        <is>
          <t xml:space="preserve">Targeted primary abstract recheck, 23 October 2026: Abstract. Scope: 1114 US participants surveyed; motivation, communication and engagement associations. Detailed attrition not re-extracted. Not a full independent appraisal.</t>
        </is>
      </c>
      <c r="AG14" s="4" t="inlineStr">
        <is>
          <t xml:space="preserve">Abstract</t>
        </is>
      </c>
      <c r="AH14" s="4" t="inlineStr">
        <is>
          <t xml:space="preserve"/>
        </is>
      </c>
    </row>
    <row r="15" ht="99" customHeight="1">
      <c r="A15" s="4" t="inlineStr">
        <is>
          <t xml:space="preserve">S11</t>
        </is>
      </c>
      <c r="B15" s="4" t="inlineStr">
        <is>
          <t xml:space="preserve">Judson et al. (2020)</t>
        </is>
      </c>
      <c r="C15" s="5">
        <v>2020</v>
      </c>
      <c r="D15" s="4" t="inlineStr">
        <is>
          <t xml:space="preserve">COVID-19 employee screening chatbot</t>
        </is>
      </c>
      <c r="E15" s="4" t="inlineStr">
        <is>
          <t xml:space="preserve">Digital screening chatbot</t>
        </is>
      </c>
      <c r="F15" s="4" t="inlineStr">
        <is>
          <t xml:space="preserve">Rule-based screening and escalation workflow</t>
        </is>
      </c>
      <c r="G15" s="4" t="inlineStr">
        <is>
          <t xml:space="preserve">Public health/occupational screening</t>
        </is>
      </c>
      <c r="H15" s="4" t="inlineStr">
        <is>
          <t xml:space="preserve">Large academic health system</t>
        </is>
      </c>
      <c r="I15" s="4" t="inlineStr">
        <is>
          <t xml:space="preserve">United States</t>
        </is>
      </c>
      <c r="J15" s="4" t="inlineStr">
        <is>
          <t xml:space="preserve">Health-system employees and occupational-health teams</t>
        </is>
      </c>
      <c r="K15" s="4" t="inlineStr">
        <is>
          <t xml:space="preserve">Implementation case study</t>
        </is>
      </c>
      <c r="L15" s="4" t="inlineStr">
        <is>
          <t xml:space="preserve">Health-system deployment</t>
        </is>
      </c>
      <c r="M15" s="4" t="inlineStr">
        <is>
          <t xml:space="preserve">Pilot approximately 80 employees; system-wide rollout</t>
        </is>
      </c>
      <c r="N15" s="4" t="inlineStr">
        <is>
          <t xml:space="preserve"/>
        </is>
      </c>
      <c r="O15" s="4" t="inlineStr">
        <is>
          <t xml:space="preserve">Entrance clearance: manual 28; digital 20; queue comparison at peak shift; different operational denominators.</t>
        </is>
      </c>
      <c r="P15" s="4" t="inlineStr">
        <is>
          <t xml:space="preserve">Manual 28 and digital 20 in timed entrance-clearance comparison; no pooled employee denominator.</t>
        </is>
      </c>
      <c r="Q15" s="4" t="inlineStr">
        <is>
          <t xml:space="preserve">Nonrandomized manual-versus-digital entrance-clearance comparison; peak-shift queue comparison during implementation.</t>
        </is>
      </c>
      <c r="R15" s="4" t="inlineStr">
        <is>
          <t xml:space="preserve">Initial pandemic deployment period</t>
        </is>
      </c>
      <c r="S15" s="4" t="inlineStr">
        <is>
          <t xml:space="preserve">Screening volume, workflow and escalation metrics</t>
        </is>
      </c>
      <c r="T15" s="4" t="inlineStr">
        <is>
          <t xml:space="preserve">Access and screening completion</t>
        </is>
      </c>
      <c r="U15" s="4" t="inlineStr">
        <is>
          <t xml:space="preserve">Manual 48 seconds versus digital 8 seconds clearance; peak queue 500 versus 100 seconds.</t>
        </is>
      </c>
      <c r="V15" s="4" t="inlineStr">
        <is>
          <t xml:space="preserve">Direct entrance-clearance and peak-queue timings; extrapolated waiting-hour savings; unquantified staffing/cost assertion.</t>
        </is>
      </c>
      <c r="W15" s="4" t="inlineStr">
        <is>
          <t xml:space="preserve">None evaluated comparatively</t>
        </is>
      </c>
      <c r="X15" s="4" t="inlineStr">
        <is>
          <t xml:space="preserve">Escalation pathways and screening criteria</t>
        </is>
      </c>
      <c r="Y15" s="4" t="inlineStr">
        <is>
          <t xml:space="preserve">Small nonrandomized timing samples; implementation-period confounding; no randomized or multisite A/B evaluation; no comprehensive quantified net-cost-effectiveness comparison.</t>
        </is>
      </c>
      <c r="Z15" s="4" t="inlineStr">
        <is>
          <t xml:space="preserve">Moderate</t>
        </is>
      </c>
      <c r="AA15" s="4" t="inlineStr">
        <is>
          <t xml:space="preserve">https://doi.org/10.1093/jamia/ocaa130</t>
        </is>
      </c>
      <c r="AB15" s="4" t="inlineStr">
        <is>
          <t xml:space="preserve">bounded_healthcare_sample</t>
        </is>
      </c>
      <c r="AC15" s="4" t="inlineStr">
        <is>
          <t xml:space="preserve">Corrected omission of direct operational time measurements. Observed timings, extrapolated waiting-hour savings and an unquantified staffing/cost assertion are distinguished.</t>
        </is>
      </c>
      <c r="AD15" s="4" t="inlineStr">
        <is>
          <t xml:space="preserve">Observed entrance-clearance and queue times were lower with digital screening. The authors extrapolated more than 15,000 employee waiting hours saved and reported staffing/cost savings, but did not provide a comprehensive quantified net-cost-effectiveness comparison.</t>
        </is>
      </c>
      <c r="AE15" s="4" t="inlineStr">
        <is>
          <t xml:space="preserve">Publisher article/abstract and audited reference; implementation scale and purpose verified.</t>
        </is>
      </c>
      <c r="AF15" s="4" t="inlineStr">
        <is>
          <t xml:space="preserve">Targeted primary full-text recheck, 23 October 2026: Results: Impact on Operations; Discussion: limitations. This is not independent duplicate human extraction.</t>
        </is>
      </c>
      <c r="AG15" s="4" t="inlineStr">
        <is>
          <t xml:space="preserve">Results: Impact on Operations; Discussion: limitations</t>
        </is>
      </c>
      <c r="AH15" s="4" t="inlineStr">
        <is>
          <t xml:space="preserve">Observed entrance-clearance and queue times were lower with digital screening. The authors extrapolated more than 15,000 employee waiting hours saved and reported staffing/cost savings, but did not provide a comprehensive quantified net-cost-effectiveness comparison.</t>
        </is>
      </c>
    </row>
    <row r="16" ht="99" customHeight="1">
      <c r="A16" s="4" t="inlineStr">
        <is>
          <t xml:space="preserve">S12</t>
        </is>
      </c>
      <c r="B16" s="4" t="inlineStr">
        <is>
          <t xml:space="preserve">Prochaska et al. (2021)</t>
        </is>
      </c>
      <c r="C16" s="5">
        <v>2021</v>
      </c>
      <c r="D16" s="4" t="inlineStr">
        <is>
          <t xml:space="preserve">Woebot for Substance Use Disorders (W-SUDs)</t>
        </is>
      </c>
      <c r="E16" s="4" t="inlineStr">
        <is>
          <t xml:space="preserve">Mobile text relational agent</t>
        </is>
      </c>
      <c r="F16" s="4" t="inlineStr">
        <is>
          <t xml:space="preserve">Scripted therapeutic relational agent</t>
        </is>
      </c>
      <c r="G16" s="4" t="inlineStr">
        <is>
          <t xml:space="preserve">Mental health/substance use</t>
        </is>
      </c>
      <c r="H16" s="4" t="inlineStr">
        <is>
          <t xml:space="preserve">Remote consumer intervention</t>
        </is>
      </c>
      <c r="I16" s="4" t="inlineStr">
        <is>
          <t xml:space="preserve">United States</t>
        </is>
      </c>
      <c r="J16" s="4" t="inlineStr">
        <is>
          <t xml:space="preserve">Adults with problematic substance use</t>
        </is>
      </c>
      <c r="K16" s="4" t="inlineStr">
        <is>
          <t xml:space="preserve">Single-group pre-post intervention</t>
        </is>
      </c>
      <c r="L16" s="4" t="inlineStr">
        <is>
          <t xml:space="preserve">Online recruitment</t>
        </is>
      </c>
      <c r="M16" s="4" t="inlineStr">
        <is>
          <t xml:space="preserve">3,597 screened; 141 consented; 128 baseline</t>
        </is>
      </c>
      <c r="N16" s="4" t="inlineStr">
        <is>
          <t xml:space="preserve"/>
        </is>
      </c>
      <c r="O16" s="4" t="inlineStr">
        <is>
          <t xml:space="preserve">51 posttreatment respondents</t>
        </is>
      </c>
      <c r="P16" s="4" t="inlineStr">
        <is>
          <t xml:space="preserve">101 analytic sample</t>
        </is>
      </c>
      <c r="Q16" s="4" t="inlineStr">
        <is>
          <t xml:space="preserve">None</t>
        </is>
      </c>
      <c r="R16" s="4" t="inlineStr">
        <is>
          <t xml:space="preserve">8 weeks</t>
        </is>
      </c>
      <c r="S16" s="4" t="inlineStr">
        <is>
          <t xml:space="preserve">Substance use, craving and mental-health self-report measures; usability</t>
        </is>
      </c>
      <c r="T16" s="4" t="inlineStr">
        <is>
          <t xml:space="preserve">Engagement, acceptability and usability</t>
        </is>
      </c>
      <c r="U16" s="4" t="inlineStr">
        <is>
          <t xml:space="preserve">Remote behavioral support feasibility</t>
        </is>
      </c>
      <c r="V16" s="4" t="inlineStr">
        <is>
          <t xml:space="preserve">None directly measured</t>
        </is>
      </c>
      <c r="W16" s="4" t="inlineStr">
        <is>
          <t xml:space="preserve">Pre-post substance-use and related symptom measures</t>
        </is>
      </c>
      <c r="X16" s="4" t="inlineStr">
        <is>
          <t xml:space="preserve">Remote intervention boundaries; no comparative safety evaluation</t>
        </is>
      </c>
      <c r="Y16" s="4" t="inlineStr">
        <is>
          <t xml:space="preserve">No comparator, high attrition, self-report and selected online sample.</t>
        </is>
      </c>
      <c r="Z16" s="4" t="inlineStr">
        <is>
          <t xml:space="preserve">Lower</t>
        </is>
      </c>
      <c r="AA16" s="4" t="inlineStr">
        <is>
          <t xml:space="preserve">https://doi.org/10.2196/24850</t>
        </is>
      </c>
      <c r="AB16" s="4" t="inlineStr">
        <is>
          <t xml:space="preserve">bounded_healthcare_sample</t>
        </is>
      </c>
      <c r="AC16" s="4" t="inlineStr">
        <is>
          <t xml:space="preserve"/>
        </is>
      </c>
      <c r="AD16" s="4" t="inlineStr">
        <is>
          <t xml:space="preserve">Participants who remained in the study reported favorable pre-post changes and usability, but the single-group design and substantial attrition preclude firm effectiveness conclusions.</t>
        </is>
      </c>
      <c r="AE16" s="4" t="inlineStr">
        <is>
          <t xml:space="preserve">Publisher full text/abstract; screening, baseline, analytic and follow-up counts verified.</t>
        </is>
      </c>
      <c r="AF16" s="4" t="inlineStr">
        <is>
          <t xml:space="preserve">Targeted primary full text recheck, 23 October 2026: Abstract; Results: Sample; Table 1. Scope: 101 analytic participants; 51 posttreatment respondents; eight-week single-group intervention with usability and symptom endpoints. Not a full independent appraisal.</t>
        </is>
      </c>
      <c r="AG16" s="4" t="inlineStr">
        <is>
          <t xml:space="preserve">Abstract; Results: Sample; Table 1</t>
        </is>
      </c>
      <c r="AH16" s="4" t="inlineStr">
        <is>
          <t xml:space="preserve"/>
        </is>
      </c>
    </row>
    <row r="17" ht="86" customHeight="1">
      <c r="A17" s="4" t="inlineStr">
        <is>
          <t xml:space="preserve">S13</t>
        </is>
      </c>
      <c r="B17" s="4" t="inlineStr">
        <is>
          <t xml:space="preserve">Fan et al. (2021)</t>
        </is>
      </c>
      <c r="C17" s="5">
        <v>2021</v>
      </c>
      <c r="D17" s="4" t="inlineStr">
        <is>
          <t xml:space="preserve">DoctorBot</t>
        </is>
      </c>
      <c r="E17" s="4" t="inlineStr">
        <is>
          <t xml:space="preserve">Mobile self-diagnosis chatbot</t>
        </is>
      </c>
      <c r="F17" s="4" t="inlineStr">
        <is>
          <t xml:space="preserve">Symptom-input conversational system</t>
        </is>
      </c>
      <c r="G17" s="4" t="inlineStr">
        <is>
          <t xml:space="preserve">Medical information/self-diagnosis</t>
        </is>
      </c>
      <c r="H17" s="4" t="inlineStr">
        <is>
          <t xml:space="preserve">Real-world consumer use</t>
        </is>
      </c>
      <c r="I17" s="4" t="inlineStr">
        <is>
          <t xml:space="preserve">China</t>
        </is>
      </c>
      <c r="J17" s="4" t="inlineStr">
        <is>
          <t xml:space="preserve">Public users</t>
        </is>
      </c>
      <c r="K17" s="4" t="inlineStr">
        <is>
          <t xml:space="preserve">Retrospective real-world case study</t>
        </is>
      </c>
      <c r="L17" s="4" t="inlineStr">
        <is>
          <t xml:space="preserve">Routine users</t>
        </is>
      </c>
      <c r="M17" s="4" t="inlineStr">
        <is>
          <t xml:space="preserve">16,519 users</t>
        </is>
      </c>
      <c r="N17" s="4" t="inlineStr">
        <is>
          <t xml:space="preserve"/>
        </is>
      </c>
      <c r="O17" s="4" t="inlineStr">
        <is>
          <t xml:space="preserve">47,684 consultation sessions</t>
        </is>
      </c>
      <c r="P17" s="4" t="inlineStr">
        <is>
          <t xml:space="preserve">16,519 users / 47,684 sessions</t>
        </is>
      </c>
      <c r="Q17" s="4" t="inlineStr">
        <is>
          <t xml:space="preserve">None</t>
        </is>
      </c>
      <c r="R17" s="4" t="inlineStr">
        <is>
          <t xml:space="preserve">6 months</t>
        </is>
      </c>
      <c r="S17" s="4" t="inlineStr">
        <is>
          <t xml:space="preserve">Usage logs and user feedback</t>
        </is>
      </c>
      <c r="T17" s="4" t="inlineStr">
        <is>
          <t xml:space="preserve">Utilization, dropout and user concerns</t>
        </is>
      </c>
      <c r="U17" s="4" t="inlineStr">
        <is>
          <t xml:space="preserve">Self-diagnosis consultation patterns</t>
        </is>
      </c>
      <c r="V17" s="4" t="inlineStr">
        <is>
          <t xml:space="preserve">Service design implications</t>
        </is>
      </c>
      <c r="W17" s="4" t="inlineStr">
        <is>
          <t xml:space="preserve">No validated diagnosis outcome in the review extraction</t>
        </is>
      </c>
      <c r="X17" s="4" t="inlineStr">
        <is>
          <t xml:space="preserve">Concerns about actionability and accuracy</t>
        </is>
      </c>
      <c r="Y17" s="4" t="inlineStr">
        <is>
          <t xml:space="preserve">Observational platform data, unclear representativeness and limited clinical ground truth.</t>
        </is>
      </c>
      <c r="Z17" s="4" t="inlineStr">
        <is>
          <t xml:space="preserve">Moderate</t>
        </is>
      </c>
      <c r="AA17" s="4" t="inlineStr">
        <is>
          <t xml:space="preserve">https://doi.org/10.2196/19928</t>
        </is>
      </c>
      <c r="AB17" s="4" t="inlineStr">
        <is>
          <t xml:space="preserve">bounded_healthcare_sample</t>
        </is>
      </c>
      <c r="AC17" s="4" t="inlineStr">
        <is>
          <t xml:space="preserve"/>
        </is>
      </c>
      <c r="AD17" s="4" t="inlineStr">
        <is>
          <t xml:space="preserve">Large-scale usage data showed substantial use but also dropout and user concerns, emphasizing that utilization does not demonstrate diagnostic accuracy or clinical benefit.</t>
        </is>
      </c>
      <c r="AE17" s="4" t="inlineStr">
        <is>
          <t xml:space="preserve">Publisher abstract/full text; user and session counts, period and study purpose verified.</t>
        </is>
      </c>
      <c r="AF17" s="4" t="inlineStr">
        <is>
          <t xml:space="preserve">Targeted primary full text recheck, 23 October 2026: Methods; Results: Utilization. Scope: 16,519 users and 47,684 consultations over six months; usage outcomes do not establish clinical accuracy. Not a full independent appraisal.</t>
        </is>
      </c>
      <c r="AG17" s="4" t="inlineStr">
        <is>
          <t xml:space="preserve">Methods; Results: Utilization</t>
        </is>
      </c>
      <c r="AH17" s="4" t="inlineStr">
        <is>
          <t xml:space="preserve"/>
        </is>
      </c>
    </row>
    <row r="18" ht="125" customHeight="1">
      <c r="A18" s="4" t="inlineStr">
        <is>
          <t xml:space="preserve">S14</t>
        </is>
      </c>
      <c r="B18" s="4" t="inlineStr">
        <is>
          <t xml:space="preserve">Sweeney et al. (2021)</t>
        </is>
      </c>
      <c r="C18" s="5">
        <v>2021</v>
      </c>
      <c r="D18" s="4" t="inlineStr">
        <is>
          <t xml:space="preserve">Generic mental-health chatbots</t>
        </is>
      </c>
      <c r="E18" s="4" t="inlineStr">
        <is>
          <t xml:space="preserve">Professional survey</t>
        </is>
      </c>
      <c r="F18" s="4" t="inlineStr">
        <is>
          <t xml:space="preserve">Not system-specific</t>
        </is>
      </c>
      <c r="G18" s="4" t="inlineStr">
        <is>
          <t xml:space="preserve">Mental health service implementation</t>
        </is>
      </c>
      <c r="H18" s="4" t="inlineStr">
        <is>
          <t xml:space="preserve">Mental-health professional/expert survey</t>
        </is>
      </c>
      <c r="I18" s="4" t="inlineStr">
        <is>
          <t xml:space="preserve">Northern Ireland, Ireland, Scotland, Sweden and Finland</t>
        </is>
      </c>
      <c r="J18" s="4" t="inlineStr">
        <is>
          <t xml:space="preserve">Mental-health professionals and experts</t>
        </is>
      </c>
      <c r="K18" s="4" t="inlineStr">
        <is>
          <t xml:space="preserve">Cross-sectional survey</t>
        </is>
      </c>
      <c r="L18" s="4" t="inlineStr">
        <is>
          <t xml:space="preserve">Professional networks</t>
        </is>
      </c>
      <c r="M18" s="4" t="inlineStr">
        <is>
          <t xml:space="preserve">100</t>
        </is>
      </c>
      <c r="N18" s="4" t="inlineStr">
        <is>
          <t xml:space="preserve"/>
        </is>
      </c>
      <c r="O18" s="4" t="inlineStr">
        <is>
          <t xml:space="preserve">100</t>
        </is>
      </c>
      <c r="P18" s="4" t="inlineStr">
        <is>
          <t xml:space="preserve">100</t>
        </is>
      </c>
      <c r="Q18" s="4" t="inlineStr">
        <is>
          <t xml:space="preserve">None</t>
        </is>
      </c>
      <c r="R18" s="4" t="inlineStr">
        <is>
          <t xml:space="preserve">Single survey</t>
        </is>
      </c>
      <c r="S18" s="4" t="inlineStr">
        <is>
          <t xml:space="preserve">Perception and implementation questionnaire</t>
        </is>
      </c>
      <c r="T18" s="4" t="inlineStr">
        <is>
          <t xml:space="preserve">Professional views of benefits, importance and limitations</t>
        </is>
      </c>
      <c r="U18" s="4" t="inlineStr">
        <is>
          <t xml:space="preserve">Perceived self-management and support potential</t>
        </is>
      </c>
      <c r="V18" s="4" t="inlineStr">
        <is>
          <t xml:space="preserve">Professional readiness and human-care boundaries</t>
        </is>
      </c>
      <c r="W18" s="4" t="inlineStr">
        <is>
          <t xml:space="preserve">None measured</t>
        </is>
      </c>
      <c r="X18" s="4" t="inlineStr">
        <is>
          <t xml:space="preserve">Strong concern about inability to understand emotion</t>
        </is>
      </c>
      <c r="Y18" s="4" t="inlineStr">
        <is>
          <t xml:space="preserve">Self-selected perception study; no deployment or outcome data.</t>
        </is>
      </c>
      <c r="Z18" s="4" t="inlineStr">
        <is>
          <t xml:space="preserve">Moderate</t>
        </is>
      </c>
      <c r="AA18" s="4" t="inlineStr">
        <is>
          <t xml:space="preserve">https://doi.org/10.1145/3453175</t>
        </is>
      </c>
      <c r="AB18" s="4" t="inlineStr">
        <is>
          <t xml:space="preserve">bounded_healthcare_sample</t>
        </is>
      </c>
      <c r="AC18" s="4" t="inlineStr">
        <is>
          <t xml:space="preserve"/>
        </is>
      </c>
      <c r="AD18" s="4" t="inlineStr">
        <is>
          <t xml:space="preserve">Professionals perceived potential benefits and self-management value but emphasized limitations in emotional understanding and the need for human support.</t>
        </is>
      </c>
      <c r="AE18" s="4" t="inlineStr">
        <is>
          <t xml:space="preserve">Publisher abstract/full text; n = 100 and principal professional perceptions verified.</t>
        </is>
      </c>
      <c r="AF18" s="4" t="inlineStr">
        <is>
          <t xml:space="preserve">Targeted author-institution-hosted primary abstract check, 23 October 2026: Abstract. Online survey of mental healthcare professionals and experts; attitudes/perceptions, not a qualitative interview study or observed clinical effect. The inherited n = 100 was not separately re-extracted from full text here. No independent human duplicate assessment.</t>
        </is>
      </c>
      <c r="AG18" s="4" t="inlineStr">
        <is>
          <t xml:space="preserve"/>
        </is>
      </c>
      <c r="AH18" s="4" t="inlineStr">
        <is>
          <t xml:space="preserve"/>
        </is>
      </c>
    </row>
    <row r="19" ht="99" customHeight="1">
      <c r="A19" s="4" t="inlineStr">
        <is>
          <t xml:space="preserve">S15</t>
        </is>
      </c>
      <c r="B19" s="4" t="inlineStr">
        <is>
          <t xml:space="preserve">Rahman et al. (2021)</t>
        </is>
      </c>
      <c r="C19" s="5">
        <v>2021</v>
      </c>
      <c r="D19" s="4" t="inlineStr">
        <is>
          <t xml:space="preserve">AdolescentBot</t>
        </is>
      </c>
      <c r="E19" s="4" t="inlineStr">
        <is>
          <t xml:space="preserve">Text chatbot/prototype evaluation</t>
        </is>
      </c>
      <c r="F19" s="4" t="inlineStr">
        <is>
          <t xml:space="preserve">Contextualized conversational prototype</t>
        </is>
      </c>
      <c r="G19" s="4" t="inlineStr">
        <is>
          <t xml:space="preserve">Public health/sexual and reproductive health</t>
        </is>
      </c>
      <c r="H19" s="4" t="inlineStr">
        <is>
          <t xml:space="preserve">Adolescent information support</t>
        </is>
      </c>
      <c r="I19" s="4" t="inlineStr">
        <is>
          <t xml:space="preserve">Bangladesh</t>
        </is>
      </c>
      <c r="J19" s="4" t="inlineStr">
        <is>
          <t xml:space="preserve">Adolescents and medical personnel</t>
        </is>
      </c>
      <c r="K19" s="4" t="inlineStr">
        <is>
          <t xml:space="preserve">Mixed-method formative HCI study</t>
        </is>
      </c>
      <c r="L19" s="4" t="inlineStr">
        <is>
          <t xml:space="preserve">Participants from six regions</t>
        </is>
      </c>
      <c r="M19" s="4" t="inlineStr">
        <is>
          <t xml:space="preserve">256</t>
        </is>
      </c>
      <c r="N19" s="4" t="inlineStr">
        <is>
          <t xml:space="preserve"/>
        </is>
      </c>
      <c r="O19" s="4" t="inlineStr">
        <is>
          <t xml:space="preserve">256 responses/participants reported across study components; no longitudinal completion population established in accessible abstract.</t>
        </is>
      </c>
      <c r="P19" s="4" t="inlineStr">
        <is>
          <t xml:space="preserve">256</t>
        </is>
      </c>
      <c r="Q19" s="4" t="inlineStr">
        <is>
          <t xml:space="preserve">None</t>
        </is>
      </c>
      <c r="R19" s="4" t="inlineStr">
        <is>
          <t xml:space="preserve">Formative/prototype study</t>
        </is>
      </c>
      <c r="S19" s="4" t="inlineStr">
        <is>
          <t xml:space="preserve">Interviews, surveys and prototype feedback</t>
        </is>
      </c>
      <c r="T19" s="4" t="inlineStr">
        <is>
          <t xml:space="preserve">Information needs, acceptability and privacy/anonymity preferences</t>
        </is>
      </c>
      <c r="U19" s="4" t="inlineStr">
        <is>
          <t xml:space="preserve">Access to culturally appropriate SRH information</t>
        </is>
      </c>
      <c r="V19" s="4" t="inlineStr">
        <is>
          <t xml:space="preserve">Requirements for connection to trusted services</t>
        </is>
      </c>
      <c r="W19" s="4" t="inlineStr">
        <is>
          <t xml:space="preserve">None measured</t>
        </is>
      </c>
      <c r="X19" s="4" t="inlineStr">
        <is>
          <t xml:space="preserve">Stigma, language, culture and privacy in a low-resource context</t>
        </is>
      </c>
      <c r="Y19" s="4" t="inlineStr">
        <is>
          <t xml:space="preserve">Formative/prototype evidence; no clinical or longitudinal outcome.</t>
        </is>
      </c>
      <c r="Z19" s="4" t="inlineStr">
        <is>
          <t xml:space="preserve">Moderate</t>
        </is>
      </c>
      <c r="AA19" s="4" t="inlineStr">
        <is>
          <t xml:space="preserve">https://doi.org/10.1145/3411764.3445694</t>
        </is>
      </c>
      <c r="AB19" s="4" t="inlineStr">
        <is>
          <t xml:space="preserve">bounded_healthcare_sample</t>
        </is>
      </c>
      <c r="AC19" s="4" t="inlineStr">
        <is>
          <t xml:space="preserve"/>
        </is>
      </c>
      <c r="AD19" s="4" t="inlineStr">
        <is>
          <t xml:space="preserve">The study identified culturally and socially specific requirements for adolescent SRH chatbots, including privacy, understandable language and trustworthy linkage to care.</t>
        </is>
      </c>
      <c r="AE19" s="4" t="inlineStr">
        <is>
          <t xml:space="preserve">Publisher paper/abstract and audited reference; sample, setting and formative focus verified.</t>
        </is>
      </c>
      <c r="AF19" s="4" t="inlineStr">
        <is>
          <t xml:space="preserve">Targeted primary abstract recheck, 23 October 2026: Abstract. Scope: Responses from 256 participants, including adolescents and medical personnel in six Bangladesh regions; prototype communication and experience analysis. Not a full independent appraisal.</t>
        </is>
      </c>
      <c r="AG19" s="4" t="inlineStr">
        <is>
          <t xml:space="preserve">Abstract</t>
        </is>
      </c>
      <c r="AH19" s="4" t="inlineStr">
        <is>
          <t xml:space="preserve"/>
        </is>
      </c>
    </row>
    <row r="20" ht="99" customHeight="1">
      <c r="A20" s="4" t="inlineStr">
        <is>
          <t xml:space="preserve">S16</t>
        </is>
      </c>
      <c r="B20" s="4" t="inlineStr">
        <is>
          <t xml:space="preserve">Griffin et al. (2021)</t>
        </is>
      </c>
      <c r="C20" s="5">
        <v>2021</v>
      </c>
      <c r="D20" s="4" t="inlineStr">
        <is>
          <t xml:space="preserve">Prospective hypertension self-management chatbot concept</t>
        </is>
      </c>
      <c r="E20" s="4" t="inlineStr">
        <is>
          <t xml:space="preserve">Interviews/design activities</t>
        </is>
      </c>
      <c r="F20" s="4" t="inlineStr">
        <is>
          <t xml:space="preserve">Not a deployed clinical chatbot</t>
        </is>
      </c>
      <c r="G20" s="4" t="inlineStr">
        <is>
          <t xml:space="preserve">Chronic-disease medication self-management</t>
        </is>
      </c>
      <c r="H20" s="4" t="inlineStr">
        <is>
          <t xml:space="preserve">Adults with hypertension</t>
        </is>
      </c>
      <c r="I20" s="4" t="inlineStr">
        <is>
          <t xml:space="preserve">United States</t>
        </is>
      </c>
      <c r="J20" s="4" t="inlineStr">
        <is>
          <t xml:space="preserve">Patients</t>
        </is>
      </c>
      <c r="K20" s="4" t="inlineStr">
        <is>
          <t xml:space="preserve">Mixed-method user-needs study</t>
        </is>
      </c>
      <c r="L20" s="4" t="inlineStr">
        <is>
          <t xml:space="preserve">Patient recruitment</t>
        </is>
      </c>
      <c r="M20" s="4" t="inlineStr">
        <is>
          <t xml:space="preserve">15</t>
        </is>
      </c>
      <c r="N20" s="4" t="inlineStr">
        <is>
          <t xml:space="preserve"/>
        </is>
      </c>
      <c r="O20" s="4" t="inlineStr">
        <is>
          <t xml:space="preserve">15</t>
        </is>
      </c>
      <c r="P20" s="4" t="inlineStr">
        <is>
          <t xml:space="preserve">15</t>
        </is>
      </c>
      <c r="Q20" s="4" t="inlineStr">
        <is>
          <t xml:space="preserve">None</t>
        </is>
      </c>
      <c r="R20" s="4" t="inlineStr">
        <is>
          <t xml:space="preserve">Single study encounter</t>
        </is>
      </c>
      <c r="S20" s="4" t="inlineStr">
        <is>
          <t xml:space="preserve">Interviews, questionnaires and design probes</t>
        </is>
      </c>
      <c r="T20" s="4" t="inlineStr">
        <is>
          <t xml:space="preserve">Perceived usefulness, privacy, usability and information needs</t>
        </is>
      </c>
      <c r="U20" s="4" t="inlineStr">
        <is>
          <t xml:space="preserve">Medication refill, communication and accountability support needs</t>
        </is>
      </c>
      <c r="V20" s="4" t="inlineStr">
        <is>
          <t xml:space="preserve">Potential linkage to care teams</t>
        </is>
      </c>
      <c r="W20" s="4" t="inlineStr">
        <is>
          <t xml:space="preserve">None measured</t>
        </is>
      </c>
      <c r="X20" s="4" t="inlineStr">
        <is>
          <t xml:space="preserve">Privacy and information-overload concerns</t>
        </is>
      </c>
      <c r="Y20" s="4" t="inlineStr">
        <is>
          <t xml:space="preserve">Very small sample and concept-level evaluation; no deployed system or outcome.</t>
        </is>
      </c>
      <c r="Z20" s="4" t="inlineStr">
        <is>
          <t xml:space="preserve">Moderate</t>
        </is>
      </c>
      <c r="AA20" s="4" t="inlineStr">
        <is>
          <t xml:space="preserve">https://doi.org/10.1093/jamiaopen/ooab021</t>
        </is>
      </c>
      <c r="AB20" s="4" t="inlineStr">
        <is>
          <t xml:space="preserve">bounded_healthcare_sample</t>
        </is>
      </c>
      <c r="AC20" s="4" t="inlineStr">
        <is>
          <t xml:space="preserve"/>
        </is>
      </c>
      <c r="AD20" s="4" t="inlineStr">
        <is>
          <t xml:space="preserve">Participants wanted medication-management, refill, communication and accountability support, while expressing privacy, usability and information-overload concerns.</t>
        </is>
      </c>
      <c r="AE20" s="4" t="inlineStr">
        <is>
          <t xml:space="preserve">Publisher article/abstract; sample, mixed-method design and principal needs verified.</t>
        </is>
      </c>
      <c r="AF20" s="4" t="inlineStr">
        <is>
          <t xml:space="preserve">Targeted primary full text recheck, 23 October 2026: Methods; Results: Sample characteristics. Scope: 15 participants with hypertension; mixed-method self-management needs and perceptions; not a treatment trial. Not a full independent appraisal.</t>
        </is>
      </c>
      <c r="AG20" s="4" t="inlineStr">
        <is>
          <t xml:space="preserve">Methods; Results: Sample characteristics</t>
        </is>
      </c>
      <c r="AH20" s="4" t="inlineStr">
        <is>
          <t xml:space="preserve"/>
        </is>
      </c>
    </row>
    <row r="21" ht="99" customHeight="1">
      <c r="A21" s="4" t="inlineStr">
        <is>
          <t xml:space="preserve">S17</t>
        </is>
      </c>
      <c r="B21" s="4" t="inlineStr">
        <is>
          <t xml:space="preserve">Jang et al. (2021)</t>
        </is>
      </c>
      <c r="C21" s="5">
        <v>2021</v>
      </c>
      <c r="D21" s="4" t="inlineStr">
        <is>
          <t xml:space="preserve">Todaki</t>
        </is>
      </c>
      <c r="E21" s="4" t="inlineStr">
        <is>
          <t xml:space="preserve">Mobile text chatbot</t>
        </is>
      </c>
      <c r="F21" s="4" t="inlineStr">
        <is>
          <t xml:space="preserve">CBT/psychoeducation chatbot</t>
        </is>
      </c>
      <c r="G21" s="4" t="inlineStr">
        <is>
          <t xml:space="preserve">Mental health/attention deficit</t>
        </is>
      </c>
      <c r="H21" s="4" t="inlineStr">
        <is>
          <t xml:space="preserve">Adult pilot intervention</t>
        </is>
      </c>
      <c r="I21" s="4" t="inlineStr">
        <is>
          <t xml:space="preserve">South Korea</t>
        </is>
      </c>
      <c r="J21" s="4" t="inlineStr">
        <is>
          <t xml:space="preserve">Adults with attention-deficit symptoms</t>
        </is>
      </c>
      <c r="K21" s="4" t="inlineStr">
        <is>
          <t xml:space="preserve">Pilot randomized feasibility/usability study</t>
        </is>
      </c>
      <c r="L21" s="4" t="inlineStr">
        <is>
          <t xml:space="preserve">Adult volunteer sample</t>
        </is>
      </c>
      <c r="M21" s="4" t="inlineStr">
        <is>
          <t xml:space="preserve">46</t>
        </is>
      </c>
      <c r="N21" s="4" t="inlineStr">
        <is>
          <t xml:space="preserve">46 (23/23)</t>
        </is>
      </c>
      <c r="O21" s="4" t="inlineStr">
        <is>
          <t xml:space="preserve">Not established from accessible primary excerpt; randomized and ITT n must not be treated as completer n.</t>
        </is>
      </c>
      <c r="P21" s="4" t="inlineStr">
        <is>
          <t xml:space="preserve">ITT23/23=46; separate endpoint-completion denominator not established.</t>
        </is>
      </c>
      <c r="Q21" s="4" t="inlineStr">
        <is>
          <t xml:space="preserve">Information-only control</t>
        </is>
      </c>
      <c r="R21" s="4" t="inlineStr">
        <is>
          <t xml:space="preserve">4 weeks</t>
        </is>
      </c>
      <c r="S21" s="4" t="inlineStr">
        <is>
          <t xml:space="preserve">Feasibility, usability and symptom/experience measures</t>
        </is>
      </c>
      <c r="T21" s="4" t="inlineStr">
        <is>
          <t xml:space="preserve">Usability, empathic/friendly character and dialogue naturalness</t>
        </is>
      </c>
      <c r="U21" s="4" t="inlineStr">
        <is>
          <t xml:space="preserve">Remote CBT/psychoeducation feasibility</t>
        </is>
      </c>
      <c r="V21" s="4" t="inlineStr">
        <is>
          <t xml:space="preserve">None directly measured</t>
        </is>
      </c>
      <c r="W21" s="4" t="inlineStr">
        <is>
          <t xml:space="preserve">Exploratory attention-related outcomes</t>
        </is>
      </c>
      <c r="X21" s="4" t="inlineStr">
        <is>
          <t xml:space="preserve">Not powered for safety</t>
        </is>
      </c>
      <c r="Y21" s="4" t="inlineStr">
        <is>
          <t xml:space="preserve">Small short pilot, limited power and no long-term service or clinical outcome.</t>
        </is>
      </c>
      <c r="Z21" s="4" t="inlineStr">
        <is>
          <t xml:space="preserve">Moderate</t>
        </is>
      </c>
      <c r="AA21" s="4" t="inlineStr">
        <is>
          <t xml:space="preserve">https://doi.org/10.1016/j.ijmedinf.2021.104440</t>
        </is>
      </c>
      <c r="AB21" s="4" t="inlineStr">
        <is>
          <t xml:space="preserve">bounded_healthcare_sample</t>
        </is>
      </c>
      <c r="AC21" s="4" t="inlineStr">
        <is>
          <t xml:space="preserve"/>
        </is>
      </c>
      <c r="AD21" s="4" t="inlineStr">
        <is>
          <t xml:space="preserve">The pilot supported feasibility and identified valued empathic/friendly features, while unnatural conversational flow was a recurring limitation.</t>
        </is>
      </c>
      <c r="AE21" s="4" t="inlineStr">
        <is>
          <t xml:space="preserve">Publisher metadata/abstract and source audit; n = 46, group allocation, 4-week duration and usability themes verified.</t>
        </is>
      </c>
      <c r="AF21" s="4" t="inlineStr">
        <is>
          <t xml:space="preserve">Targeted primary abstract and publisher excerpts recheck, 23 October 2026: Abstract: Methods/Results. Scope: 46 randomized 23/23; four-week pilot; ITT analysis 23/23. Endpoint completer count was not established by the accessible excerpt. Not a full independent appraisal.</t>
        </is>
      </c>
      <c r="AG21" s="4" t="inlineStr">
        <is>
          <t xml:space="preserve">Abstract: Methods/Results</t>
        </is>
      </c>
      <c r="AH21" s="4" t="inlineStr">
        <is>
          <t xml:space="preserve">The small randomized pilot measured attention-deficit and associated symptoms plus usability; ITT group-by-time effects favored the intervention on selected attention-deficit scales. Feasibility evidence is not definitive effectiveness.</t>
        </is>
      </c>
    </row>
    <row r="22" ht="99" customHeight="1">
      <c r="A22" s="4" t="inlineStr">
        <is>
          <t xml:space="preserve">S18</t>
        </is>
      </c>
      <c r="B22" s="4" t="inlineStr">
        <is>
          <t xml:space="preserve">He et al. (2022)</t>
        </is>
      </c>
      <c r="C22" s="5">
        <v>2022</v>
      </c>
      <c r="D22" s="4" t="inlineStr">
        <is>
          <t xml:space="preserve">XiaoE</t>
        </is>
      </c>
      <c r="E22" s="4" t="inlineStr">
        <is>
          <t xml:space="preserve">Mobile/text mental-health chatbot</t>
        </is>
      </c>
      <c r="F22" s="4" t="inlineStr">
        <is>
          <t xml:space="preserve">CBT-informed conversational intervention</t>
        </is>
      </c>
      <c r="G22" s="4" t="inlineStr">
        <is>
          <t xml:space="preserve">Mental health/depressive symptoms</t>
        </is>
      </c>
      <c r="H22" s="4" t="inlineStr">
        <is>
          <t xml:space="preserve">Young-adult remote intervention</t>
        </is>
      </c>
      <c r="I22" s="4" t="inlineStr">
        <is>
          <t xml:space="preserve">China</t>
        </is>
      </c>
      <c r="J22" s="4" t="inlineStr">
        <is>
          <t xml:space="preserve">Young adults with depressive symptoms</t>
        </is>
      </c>
      <c r="K22" s="4" t="inlineStr">
        <is>
          <t xml:space="preserve">Single-blind three-arm randomized controlled trial</t>
        </is>
      </c>
      <c r="L22" s="4" t="inlineStr">
        <is>
          <t xml:space="preserve">Online/young-adult recruitment</t>
        </is>
      </c>
      <c r="M22" s="4" t="inlineStr">
        <is>
          <t xml:space="preserve">148</t>
        </is>
      </c>
      <c r="N22" s="4" t="inlineStr">
        <is>
          <t xml:space="preserve">148: 49 XiaoE; 49 e-book; 50 Xiaoai</t>
        </is>
      </c>
      <c r="O22" s="4" t="inlineStr">
        <is>
          <t xml:space="preserve">Table 2 observed counts: day 7, 45/39/41 (total 125); day 30, 44/32/30 (total 106).</t>
        </is>
      </c>
      <c r="P22" s="4" t="inlineStr">
        <is>
          <t xml:space="preserve">ITT full randomized set with controlled multiple imputation; PP observed time-specific subsets. Table 2 displays endpoint n in both analyses; do not equate these with the full imputed ITT population.</t>
        </is>
      </c>
      <c r="Q22" s="4" t="inlineStr">
        <is>
          <t xml:space="preserve">Mental-health e-book and general chatbot Xiaoai.</t>
        </is>
      </c>
      <c r="R22" s="4" t="inlineStr">
        <is>
          <t xml:space="preserve">One-week intervention; assessment at day 7 and day 30 after enrollment.</t>
        </is>
      </c>
      <c r="S22" s="4" t="inlineStr">
        <is>
          <t xml:space="preserve">Depressive-symptom and user-experience measures</t>
        </is>
      </c>
      <c r="T22" s="4" t="inlineStr">
        <is>
          <t xml:space="preserve">Engagement, usability and perceived support</t>
        </is>
      </c>
      <c r="U22" s="4" t="inlineStr">
        <is>
          <t xml:space="preserve">Short-term remote mental-health support</t>
        </is>
      </c>
      <c r="V22" s="4" t="inlineStr">
        <is>
          <t xml:space="preserve">None directly measured</t>
        </is>
      </c>
      <c r="W22" s="4" t="inlineStr">
        <is>
          <t xml:space="preserve">Short-term depressive/distress outcomes</t>
        </is>
      </c>
      <c r="X22" s="4" t="inlineStr">
        <is>
          <t xml:space="preserve">Short duration; young-adult Chinese sample</t>
        </is>
      </c>
      <c r="Y22" s="4" t="inlineStr">
        <is>
          <t xml:space="preserve">Brief intervention and follow-up; attrition and missing-data assumptions; day-30 e-book comparison loses significance in sensitivity and PP analyses.</t>
        </is>
      </c>
      <c r="Z22" s="4" t="inlineStr">
        <is>
          <t xml:space="preserve">Higher</t>
        </is>
      </c>
      <c r="AA22" s="4" t="inlineStr">
        <is>
          <t xml:space="preserve">https://doi.org/10.2196/40719</t>
        </is>
      </c>
      <c r="AB22" s="4" t="inlineStr">
        <is>
          <t xml:space="preserve">bounded_healthcare_sample</t>
        </is>
      </c>
      <c r="AC22" s="4" t="inlineStr">
        <is>
          <t xml:space="preserve">Replaced unfinished extraction instruction with verified time-specific observed counts. Kept randomized population, observed endpoint counts and imputed ITT analysis distinct.</t>
        </is>
      </c>
      <c r="AD22" s="4" t="inlineStr">
        <is>
          <t xml:space="preserve">Short-term PHQ-9 comparisons favored XiaoE. At day 30 the e-book comparison was not robust to missing-data sensitivity analysis and was nonsignificant in the per-protocol post-hoc test. Results depend on comparator, endpoint and analysis population.</t>
        </is>
      </c>
      <c r="AE22" s="4" t="inlineStr">
        <is>
          <t xml:space="preserve">Publisher abstract/full text and audited reference; design, arms and randomized sample verified.</t>
        </is>
      </c>
      <c r="AF22" s="4" t="inlineStr">
        <is>
          <t xml:space="preserve">Targeted primary full-text recheck, 23 October 2026: Methods: Statistical Analysis; Results: Table 2 and Table 3; PP Analysis. This is not independent duplicate human extraction.</t>
        </is>
      </c>
      <c r="AG22" s="4" t="inlineStr">
        <is>
          <t xml:space="preserve">Methods: Statistical Analysis; Results: Table 2 and Table 3; PP Analysis</t>
        </is>
      </c>
      <c r="AH22" s="4" t="inlineStr">
        <is>
          <t xml:space="preserve">Short-term PHQ-9 comparisons favored XiaoE. At day 30 the e-book comparison was not robust to missing-data sensitivity analysis and was nonsignificant in the per-protocol post-hoc test. Results depend on comparator, endpoint and analysis population.</t>
        </is>
      </c>
    </row>
    <row r="23" ht="112" customHeight="1">
      <c r="A23" s="4" t="inlineStr">
        <is>
          <t xml:space="preserve">S19</t>
        </is>
      </c>
      <c r="B23" s="4" t="inlineStr">
        <is>
          <t xml:space="preserve">Fitzsimmons-Craft et al. (2022)</t>
        </is>
      </c>
      <c r="C23" s="5">
        <v>2022</v>
      </c>
      <c r="D23" s="4" t="inlineStr">
        <is>
          <t xml:space="preserve">Tessa/StudentBodies-based chatbot</t>
        </is>
      </c>
      <c r="E23" s="4" t="inlineStr">
        <is>
          <t xml:space="preserve">Text-based prevention chatbot</t>
        </is>
      </c>
      <c r="F23" s="4" t="inlineStr">
        <is>
          <t xml:space="preserve">Structured CBT-based chatbot</t>
        </is>
      </c>
      <c r="G23" s="4" t="inlineStr">
        <is>
          <t xml:space="preserve">Mental health/eating-disorder prevention</t>
        </is>
      </c>
      <c r="H23" s="4" t="inlineStr">
        <is>
          <t xml:space="preserve">High-risk women</t>
        </is>
      </c>
      <c r="I23" s="4" t="inlineStr">
        <is>
          <t xml:space="preserve">United States</t>
        </is>
      </c>
      <c r="J23" s="4" t="inlineStr">
        <is>
          <t xml:space="preserve">Women at high risk for eating disorders</t>
        </is>
      </c>
      <c r="K23" s="4" t="inlineStr">
        <is>
          <t xml:space="preserve">Randomized clinical trial</t>
        </is>
      </c>
      <c r="L23" s="4" t="inlineStr">
        <is>
          <t xml:space="preserve">Online screening/recruitment</t>
        </is>
      </c>
      <c r="M23" s="4" t="inlineStr">
        <is>
          <t xml:space="preserve">700</t>
        </is>
      </c>
      <c r="N23" s="4" t="inlineStr">
        <is>
          <t xml:space="preserve">700 (352 intervention; 348 control)</t>
        </is>
      </c>
      <c r="O23" s="4" t="inlineStr">
        <is>
          <t xml:space="preserve">Follow-up completion varied by time point</t>
        </is>
      </c>
      <c r="P23" s="4" t="inlineStr">
        <is>
          <t xml:space="preserve">Intention-to-treat/model-based analysis as reported</t>
        </is>
      </c>
      <c r="Q23" s="4" t="inlineStr">
        <is>
          <t xml:space="preserve">Waitlist control</t>
        </is>
      </c>
      <c r="R23" s="4" t="inlineStr">
        <is>
          <t xml:space="preserve">3- and 6-month follow-up</t>
        </is>
      </c>
      <c r="S23" s="4" t="inlineStr">
        <is>
          <t xml:space="preserve">Weight/shape concerns, thin-ideal internalization, ED psychopathology, depression and anxiety</t>
        </is>
      </c>
      <c r="T23" s="4" t="inlineStr">
        <is>
          <t xml:space="preserve">Intervention use and engagement</t>
        </is>
      </c>
      <c r="U23" s="4" t="inlineStr">
        <is>
          <t xml:space="preserve">Scalable prevention delivery</t>
        </is>
      </c>
      <c r="V23" s="4" t="inlineStr">
        <is>
          <t xml:space="preserve">None directly measured</t>
        </is>
      </c>
      <c r="W23" s="4" t="inlineStr">
        <is>
          <t xml:space="preserve">ED risk factors, psychopathology and onset</t>
        </is>
      </c>
      <c r="X23" s="4" t="inlineStr">
        <is>
          <t xml:space="preserve">Women at elevated risk; attrition at follow-up</t>
        </is>
      </c>
      <c r="Y23" s="4" t="inlineStr">
        <is>
          <t xml:space="preserve">Follow-up attrition, waitlist rather than active control and restricted high-risk population.</t>
        </is>
      </c>
      <c r="Z23" s="4" t="inlineStr">
        <is>
          <t xml:space="preserve">Higher</t>
        </is>
      </c>
      <c r="AA23" s="4" t="inlineStr">
        <is>
          <t xml:space="preserve">https://doi.org/10.1002/eat.23662</t>
        </is>
      </c>
      <c r="AB23" s="4" t="inlineStr">
        <is>
          <t xml:space="preserve">bounded_healthcare_sample</t>
        </is>
      </c>
      <c r="AC23" s="4" t="inlineStr">
        <is>
          <t xml:space="preserve"/>
        </is>
      </c>
      <c r="AD23" s="4" t="inlineStr">
        <is>
          <t xml:space="preserve">Compared with waitlist, the chatbot produced small reductions in weight/shape concerns at 3 and 6 months and short-term reduction in overall ED psychopathology; depression and anxiety did not differ.</t>
        </is>
      </c>
      <c r="AE23" s="4" t="inlineStr">
        <is>
          <t xml:space="preserve">Publisher full text; N = 700, comparator, follow-up and principal effect directions verified.</t>
        </is>
      </c>
      <c r="AF23" s="4" t="inlineStr">
        <is>
          <t xml:space="preserve">Targeted primary abstract recheck, 23 October 2026: Abstract: Method/Results. Scope: 700 randomized; weight/shape concerns improved at 3/6 months; no depression/anxiety between-group differences; exact endpoint completer counts not in abstract. Not a full independent appraisal.</t>
        </is>
      </c>
      <c r="AG23" s="4" t="inlineStr">
        <is>
          <t xml:space="preserve">Abstract: Method/Results</t>
        </is>
      </c>
      <c r="AH23" s="4" t="inlineStr">
        <is>
          <t xml:space="preserve"/>
        </is>
      </c>
    </row>
    <row r="24" ht="99" customHeight="1">
      <c r="A24" s="4" t="inlineStr">
        <is>
          <t xml:space="preserve">S20</t>
        </is>
      </c>
      <c r="B24" s="4" t="inlineStr">
        <is>
          <t xml:space="preserve">Durden et al. (2023)</t>
        </is>
      </c>
      <c r="C24" s="5">
        <v>2023</v>
      </c>
      <c r="D24" s="4" t="inlineStr">
        <is>
          <t xml:space="preserve">Woebot-LIFE</t>
        </is>
      </c>
      <c r="E24" s="4" t="inlineStr">
        <is>
          <t xml:space="preserve">Mobile relational agent</t>
        </is>
      </c>
      <c r="F24" s="4" t="inlineStr">
        <is>
          <t xml:space="preserve">Structured mental-health relational agent</t>
        </is>
      </c>
      <c r="G24" s="4" t="inlineStr">
        <is>
          <t xml:space="preserve">Mental health/stress and burnout</t>
        </is>
      </c>
      <c r="H24" s="4" t="inlineStr">
        <is>
          <t xml:space="preserve">Remote adult intervention</t>
        </is>
      </c>
      <c r="I24" s="4" t="inlineStr">
        <is>
          <t xml:space="preserve">United States</t>
        </is>
      </c>
      <c r="J24" s="4" t="inlineStr">
        <is>
          <t xml:space="preserve">Adults reporting stress/burnout</t>
        </is>
      </c>
      <c r="K24" s="4" t="inlineStr">
        <is>
          <t xml:space="preserve">Single-arm open-label intervention</t>
        </is>
      </c>
      <c r="L24" s="4" t="inlineStr">
        <is>
          <t xml:space="preserve">Online recruitment</t>
        </is>
      </c>
      <c r="M24" s="4" t="inlineStr">
        <is>
          <t xml:space="preserve">256</t>
        </is>
      </c>
      <c r="N24" s="4" t="inlineStr">
        <is>
          <t xml:space="preserve"/>
        </is>
      </c>
      <c r="O24" s="4" t="inlineStr">
        <is>
          <t xml:space="preserve">Completion reported by time point</t>
        </is>
      </c>
      <c r="P24" s="4" t="inlineStr">
        <is>
          <t xml:space="preserve">256 enrolled; analysis sets as reported</t>
        </is>
      </c>
      <c r="Q24" s="4" t="inlineStr">
        <is>
          <t xml:space="preserve">None</t>
        </is>
      </c>
      <c r="R24" s="4" t="inlineStr">
        <is>
          <t xml:space="preserve">8 weeks</t>
        </is>
      </c>
      <c r="S24" s="4" t="inlineStr">
        <is>
          <t xml:space="preserve">Stress, burnout, resilience, PHQ-8 and GAD-7-related measures</t>
        </is>
      </c>
      <c r="T24" s="4" t="inlineStr">
        <is>
          <t xml:space="preserve">Engagement and acceptability</t>
        </is>
      </c>
      <c r="U24" s="4" t="inlineStr">
        <is>
          <t xml:space="preserve">Remote self-help support</t>
        </is>
      </c>
      <c r="V24" s="4" t="inlineStr">
        <is>
          <t xml:space="preserve">None directly measured</t>
        </is>
      </c>
      <c r="W24" s="4" t="inlineStr">
        <is>
          <t xml:space="preserve">Pre-post stress, burnout and resilience</t>
        </is>
      </c>
      <c r="X24" s="4" t="inlineStr">
        <is>
          <t xml:space="preserve">No controlled safety comparison</t>
        </is>
      </c>
      <c r="Y24" s="4" t="inlineStr">
        <is>
          <t xml:space="preserve">No comparator, self-selection, self-report and attrition.</t>
        </is>
      </c>
      <c r="Z24" s="4" t="inlineStr">
        <is>
          <t xml:space="preserve">Lower</t>
        </is>
      </c>
      <c r="AA24" s="4" t="inlineStr">
        <is>
          <t xml:space="preserve">https://doi.org/10.1016/j.invent.2023.100637</t>
        </is>
      </c>
      <c r="AB24" s="4" t="inlineStr">
        <is>
          <t xml:space="preserve">bounded_healthcare_sample</t>
        </is>
      </c>
      <c r="AC24" s="4" t="inlineStr">
        <is>
          <t xml:space="preserve"/>
        </is>
      </c>
      <c r="AD24" s="4" t="inlineStr">
        <is>
          <t xml:space="preserve">Stress and burnout decreased and resilience increased over the intervention, but the uncontrolled open-label design does not establish that Woebot caused the changes.</t>
        </is>
      </c>
      <c r="AE24" s="4" t="inlineStr">
        <is>
          <t xml:space="preserve">Publisher abstract/full text and audited reference; n = 256, 8-week design and outcome domains verified.</t>
        </is>
      </c>
      <c r="AF24" s="4" t="inlineStr">
        <is>
          <t xml:space="preserve">Targeted primary abstract and publisher highlights recheck, 23 October 2026: Abstract; Highlights. Scope: 256 adults; eight-week relational-agent study; uncontrolled stress/burnout/resilience change, not established causal efficacy. Not a full independent appraisal.</t>
        </is>
      </c>
      <c r="AG24" s="4" t="inlineStr">
        <is>
          <t xml:space="preserve">Abstract; Highlights</t>
        </is>
      </c>
      <c r="AH24" s="4" t="inlineStr">
        <is>
          <t xml:space="preserve"/>
        </is>
      </c>
    </row>
    <row r="25" ht="99" customHeight="1">
      <c r="A25" s="4" t="inlineStr">
        <is>
          <t xml:space="preserve">S21</t>
        </is>
      </c>
      <c r="B25" s="4" t="inlineStr">
        <is>
          <t xml:space="preserve">Potts et al. (2023)</t>
        </is>
      </c>
      <c r="C25" s="5">
        <v>2023</v>
      </c>
      <c r="D25" s="4" t="inlineStr">
        <is>
          <t xml:space="preserve">ChatPal</t>
        </is>
      </c>
      <c r="E25" s="4" t="inlineStr">
        <is>
          <t xml:space="preserve">Multilingual mobile chatbot</t>
        </is>
      </c>
      <c r="F25" s="4" t="inlineStr">
        <is>
          <t xml:space="preserve">Rasa-based psychoeducational chatbot</t>
        </is>
      </c>
      <c r="G25" s="4" t="inlineStr">
        <is>
          <t xml:space="preserve">Mental health/public well-being</t>
        </is>
      </c>
      <c r="H25" s="4" t="inlineStr">
        <is>
          <t xml:space="preserve">Five European regions</t>
        </is>
      </c>
      <c r="I25" s="4" t="inlineStr">
        <is>
          <t xml:space="preserve">Ireland, Northern Ireland, Scotland, Finland and Sweden</t>
        </is>
      </c>
      <c r="J25" s="4" t="inlineStr">
        <is>
          <t xml:space="preserve">Adults from general population and mental-health service contexts</t>
        </is>
      </c>
      <c r="K25" s="4" t="inlineStr">
        <is>
          <t xml:space="preserve">Multicenter pre-post intervention</t>
        </is>
      </c>
      <c r="L25" s="4" t="inlineStr">
        <is>
          <t xml:space="preserve">Community and service recruitment</t>
        </is>
      </c>
      <c r="M25" s="4" t="inlineStr">
        <is>
          <t xml:space="preserve">348</t>
        </is>
      </c>
      <c r="N25" s="4" t="inlineStr">
        <is>
          <t xml:space="preserve"/>
        </is>
      </c>
      <c r="O25" s="4" t="inlineStr">
        <is>
          <t xml:space="preserve">SWEMWBS baseline/mid/end 275/37/19; WHO-5 270/34/16; SWLS268/33/18.</t>
        </is>
      </c>
      <c r="P25" s="4" t="inlineStr">
        <is>
          <t xml:space="preserve">Instrument-specific available and paired analyses; 348 recruited is not a common baseline denominator.</t>
        </is>
      </c>
      <c r="Q25" s="4" t="inlineStr">
        <is>
          <t xml:space="preserve">No concurrent randomized comparator.</t>
        </is>
      </c>
      <c r="R25" s="4" t="inlineStr">
        <is>
          <t xml:space="preserve">12 weeks</t>
        </is>
      </c>
      <c r="S25" s="4" t="inlineStr">
        <is>
          <t xml:space="preserve">SWEMWBS, WHO-5, SWLS and usage/experience data</t>
        </is>
      </c>
      <c r="T25" s="4" t="inlineStr">
        <is>
          <t xml:space="preserve">Engagement, usability and qualitative experience</t>
        </is>
      </c>
      <c r="U25" s="4" t="inlineStr">
        <is>
          <t xml:space="preserve">Multilingual psychoeducation and well-being support</t>
        </is>
      </c>
      <c r="V25" s="4" t="inlineStr">
        <is>
          <t xml:space="preserve">No direct organizational/workflow endpoint verified</t>
        </is>
      </c>
      <c r="W25" s="4" t="inlineStr">
        <is>
          <t xml:space="preserve">Well-being and life-satisfaction measures</t>
        </is>
      </c>
      <c r="X25" s="4" t="inlineStr">
        <is>
          <t xml:space="preserve">Multilingual regional deployment; technical barriers</t>
        </is>
      </c>
      <c r="Y25" s="4" t="inlineStr">
        <is>
          <t xml:space="preserve">Uncontrolled design, follow-up attrition and heterogeneous recruitment.</t>
        </is>
      </c>
      <c r="Z25" s="4" t="inlineStr">
        <is>
          <t xml:space="preserve">Moderate</t>
        </is>
      </c>
      <c r="AA25" s="4" t="inlineStr">
        <is>
          <t xml:space="preserve">https://doi.org/10.2196/43051</t>
        </is>
      </c>
      <c r="AB25" s="4" t="inlineStr">
        <is>
          <t xml:space="preserve">bounded_healthcare_sample</t>
        </is>
      </c>
      <c r="AC25" s="4" t="inlineStr">
        <is>
          <t xml:space="preserve">Replaced the ambiguous 348-baseline and universal 19-completer wording with instrument-specific populations; no organizational-outcome recoding.</t>
        </is>
      </c>
      <c r="AD25" s="4" t="inlineStr">
        <is>
          <t xml:space="preserve">The study describes usage and participant feedback; standardized well-being changes were not statistically significant. Endpoint samples were small and differed by instrument. No direct provider-workload or organizational-cost endpoint was measured.</t>
        </is>
      </c>
      <c r="AE25" s="4" t="inlineStr">
        <is>
          <t xml:space="preserve">PubMed/publisher abstract; n = 348, 12-week design and nonsignificant primary well-being results verified.</t>
        </is>
      </c>
      <c r="AF25" s="4" t="inlineStr">
        <is>
          <t xml:space="preserve">Targeted primary full-text recheck, 23 October 2026: Results: Tables 2–4; User Feedback; Limitations. This is not independent duplicate human extraction.</t>
        </is>
      </c>
      <c r="AG25" s="4" t="inlineStr">
        <is>
          <t xml:space="preserve">Results: Tables 2–4; User Feedback; Limitations</t>
        </is>
      </c>
      <c r="AH25" s="4" t="inlineStr">
        <is>
          <t xml:space="preserve">The study describes usage and participant feedback; standardized well-being changes were not statistically significant. Endpoint samples were small and differed by instrument. No direct provider-workload or organizational-cost endpoint was measured.</t>
        </is>
      </c>
    </row>
    <row r="26" ht="99" customHeight="1">
      <c r="A26" s="4" t="inlineStr">
        <is>
          <t xml:space="preserve">S22</t>
        </is>
      </c>
      <c r="B26" s="4" t="inlineStr">
        <is>
          <t xml:space="preserve">Kleinau et al. (2024)</t>
        </is>
      </c>
      <c r="C26" s="5">
        <v>2024</v>
      </c>
      <c r="D26" s="4" t="inlineStr">
        <is>
          <t xml:space="preserve">Vitalk mental-wellbeing chatbot</t>
        </is>
      </c>
      <c r="E26" s="4" t="inlineStr">
        <is>
          <t xml:space="preserve">Mobile text chatbot</t>
        </is>
      </c>
      <c r="F26" s="4" t="inlineStr">
        <is>
          <t xml:space="preserve">Structured mental-wellbeing program</t>
        </is>
      </c>
      <c r="G26" s="4" t="inlineStr">
        <is>
          <t xml:space="preserve">Mental health/occupational well-being</t>
        </is>
      </c>
      <c r="H26" s="4" t="inlineStr">
        <is>
          <t xml:space="preserve">Healthcare workers</t>
        </is>
      </c>
      <c r="I26" s="4" t="inlineStr">
        <is>
          <t xml:space="preserve">Malawi</t>
        </is>
      </c>
      <c r="J26" s="4" t="inlineStr">
        <is>
          <t xml:space="preserve">Health workers</t>
        </is>
      </c>
      <c r="K26" s="4" t="inlineStr">
        <is>
          <t xml:space="preserve">Two-arm randomized controlled trial</t>
        </is>
      </c>
      <c r="L26" s="4" t="inlineStr">
        <is>
          <t xml:space="preserve">Health-worker recruitment</t>
        </is>
      </c>
      <c r="M26" s="4" t="inlineStr">
        <is>
          <t xml:space="preserve">1,584</t>
        </is>
      </c>
      <c r="N26" s="4" t="inlineStr">
        <is>
          <t xml:space="preserve">1,584</t>
        </is>
      </c>
      <c r="O26" s="4" t="inlineStr">
        <is>
          <t xml:space="preserve">215 intervention and 296 control completed baseline/endline anxiety assessments; outcome-specific samples varied</t>
        </is>
      </c>
      <c r="P26" s="4" t="inlineStr">
        <is>
          <t xml:space="preserve">Outcome-specific complete cases/model analyses</t>
        </is>
      </c>
      <c r="Q26" s="4" t="inlineStr">
        <is>
          <t xml:space="preserve">Enhanced care as usual/passive information</t>
        </is>
      </c>
      <c r="R26" s="4" t="inlineStr">
        <is>
          <t xml:space="preserve">8 weeks</t>
        </is>
      </c>
      <c r="S26" s="4" t="inlineStr">
        <is>
          <t xml:space="preserve">Depression, anxiety, burnout, resilience and resilience-activity measures</t>
        </is>
      </c>
      <c r="T26" s="4" t="inlineStr">
        <is>
          <t xml:space="preserve">Program participation/engagement</t>
        </is>
      </c>
      <c r="U26" s="4" t="inlineStr">
        <is>
          <t xml:space="preserve">Scalable support for health workers</t>
        </is>
      </c>
      <c r="V26" s="4" t="inlineStr">
        <is>
          <t xml:space="preserve">Occupational-wellbeing support in a low-resource health system</t>
        </is>
      </c>
      <c r="W26" s="4" t="inlineStr">
        <is>
          <t xml:space="preserve">Depression, anxiety, burnout and resilience</t>
        </is>
      </c>
      <c r="X26" s="4" t="inlineStr">
        <is>
          <t xml:space="preserve">LMIC implementation; substantial attrition</t>
        </is>
      </c>
      <c r="Y26" s="4" t="inlineStr">
        <is>
          <t xml:space="preserve">Major loss to follow-up and outcome-specific complete-case samples; pandemic context.</t>
        </is>
      </c>
      <c r="Z26" s="4" t="inlineStr">
        <is>
          <t xml:space="preserve">Moderate</t>
        </is>
      </c>
      <c r="AA26" s="4" t="inlineStr">
        <is>
          <t xml:space="preserve">https://doi.org/10.1371/journal.pone.0303370</t>
        </is>
      </c>
      <c r="AB26" s="4" t="inlineStr">
        <is>
          <t xml:space="preserve">bounded_healthcare_sample</t>
        </is>
      </c>
      <c r="AC26" s="4" t="inlineStr">
        <is>
          <t xml:space="preserve"/>
        </is>
      </c>
      <c r="AD26" s="4" t="inlineStr">
        <is>
          <t xml:space="preserve">The trial found a statistically supported reduction in depression and increases in resilience-related outcomes; anxiety and burnout estimates were less certain. Attrition substantially reduced confidence.</t>
        </is>
      </c>
      <c r="AE26" s="4" t="inlineStr">
        <is>
          <t xml:space="preserve">Publisher full text; randomized N = 1,584, endpoint sample pattern and main estimates verified.</t>
        </is>
      </c>
      <c r="AF26" s="4" t="inlineStr">
        <is>
          <t xml:space="preserve">Targeted primary full text recheck, 23 October 2026: Abstract; Results: participant flow. Scope: 1,584 randomized; 215 treatment and 296 control completed baseline/endline anxiety assessments; outcome-specific attrition. Not a full independent appraisal.</t>
        </is>
      </c>
      <c r="AG26" s="4" t="inlineStr">
        <is>
          <t xml:space="preserve">Abstract; Results: participant flow</t>
        </is>
      </c>
      <c r="AH26" s="4" t="inlineStr">
        <is>
          <t xml:space="preserve"/>
        </is>
      </c>
    </row>
    <row r="27" ht="151" customHeight="1">
      <c r="A27" s="4" t="inlineStr">
        <is>
          <t xml:space="preserve">S23</t>
        </is>
      </c>
      <c r="B27" s="4" t="inlineStr">
        <is>
          <t xml:space="preserve">Langhammer et al. (2024)</t>
        </is>
      </c>
      <c r="C27" s="5">
        <v>2024</v>
      </c>
      <c r="D27" s="4" t="inlineStr">
        <is>
          <t xml:space="preserve">Aury plus digitized group intervention</t>
        </is>
      </c>
      <c r="E27" s="4" t="inlineStr">
        <is>
          <t xml:space="preserve">Chatbot followed by optional group program</t>
        </is>
      </c>
      <c r="F27" s="4" t="inlineStr">
        <is>
          <t xml:space="preserve">CBT-based stepped-care chatbot</t>
        </is>
      </c>
      <c r="G27" s="4" t="inlineStr">
        <is>
          <t xml:space="preserve">Mental health/general population</t>
        </is>
      </c>
      <c r="H27" s="4" t="inlineStr">
        <is>
          <t xml:space="preserve">Pandemic-era remote intervention</t>
        </is>
      </c>
      <c r="I27" s="4" t="inlineStr">
        <is>
          <t xml:space="preserve">Germany</t>
        </is>
      </c>
      <c r="J27" s="4" t="inlineStr">
        <is>
          <t xml:space="preserve">Adults in the general population</t>
        </is>
      </c>
      <c r="K27" s="4" t="inlineStr">
        <is>
          <t xml:space="preserve">Nonrandomized stepped-care pre/post evaluation with a within-subject waiting period; no concurrent randomized control</t>
        </is>
      </c>
      <c r="L27" s="4" t="inlineStr">
        <is>
          <t xml:space="preserve">Open/online recruitment</t>
        </is>
      </c>
      <c r="M27" s="4" t="inlineStr">
        <is>
          <t xml:space="preserve">1,752 eligible/enrolled; 1,261 baseline</t>
        </is>
      </c>
      <c r="N27" s="4" t="inlineStr">
        <is>
          <t xml:space="preserve"/>
        </is>
      </c>
      <c r="O27" s="4" t="inlineStr">
        <is>
          <t xml:space="preserve">189 all-chatbot completers including 142 chatbot-only; 41 complete programme</t>
        </is>
      </c>
      <c r="P27" s="4" t="inlineStr">
        <is>
          <t xml:space="preserve">Outcome-specific; six-month 60 chatbot-only/27 complete programme</t>
        </is>
      </c>
      <c r="Q27" s="4" t="inlineStr">
        <is>
          <t xml:space="preserve">Within-subject four-week waiting period between components and observational program-use groups; no concurrent randomized allocation.</t>
        </is>
      </c>
      <c r="R27" s="4" t="inlineStr">
        <is>
          <t xml:space="preserve">4-week chatbot plus optional 6-week group intervention</t>
        </is>
      </c>
      <c r="S27" s="4" t="inlineStr">
        <is>
          <t xml:space="preserve">Depression, anxiety and related mental-health measures</t>
        </is>
      </c>
      <c r="T27" s="4" t="inlineStr">
        <is>
          <t xml:space="preserve">Completion and stepped-care uptake</t>
        </is>
      </c>
      <c r="U27" s="4" t="inlineStr">
        <is>
          <t xml:space="preserve">Scalable stepped-care pathway</t>
        </is>
      </c>
      <c r="V27" s="4" t="inlineStr">
        <is>
          <t xml:space="preserve">Potential digital triage/stepped-care integration</t>
        </is>
      </c>
      <c r="W27" s="4" t="inlineStr">
        <is>
          <t xml:space="preserve">Pre-post mental-health symptom change</t>
        </is>
      </c>
      <c r="X27" s="4" t="inlineStr">
        <is>
          <t xml:space="preserve">Very high attrition</t>
        </is>
      </c>
      <c r="Y27" s="4" t="inlineStr">
        <is>
          <t xml:space="preserve">Uncontrolled design, very high attrition, completer analysis and pandemic context.</t>
        </is>
      </c>
      <c r="Z27" s="4" t="inlineStr">
        <is>
          <t xml:space="preserve">Lower</t>
        </is>
      </c>
      <c r="AA27" s="4" t="inlineStr">
        <is>
          <t xml:space="preserve">https://doi.org/10.1155/2024/8950388</t>
        </is>
      </c>
      <c r="AB27" s="4" t="inlineStr">
        <is>
          <t xml:space="preserve">bounded_healthcare_sample</t>
        </is>
      </c>
      <c r="AC27" s="4" t="inlineStr">
        <is>
          <t xml:space="preserve">Distinct analysis populations must not be equated or summed.</t>
        </is>
      </c>
      <c r="AD27" s="4" t="inlineStr">
        <is>
          <t xml:space="preserve">Completers showed small-to-medium changes after the chatbot and larger changes after the full stepped-care program, but no control group and extreme attrition prevent causal interpretation.</t>
        </is>
      </c>
      <c r="AE27" s="4" t="inlineStr">
        <is>
          <t xml:space="preserve">Publisher full text; initial, post-chatbot and full-program samples and staged design verified.</t>
        </is>
      </c>
      <c r="AF27" s="4" t="inlineStr">
        <is>
          <t xml:space="preserve">Targeted primary full text in publisher indexed record check, 23 October 2026: Methods 2.1–2.5; Results; Table 1. 1,752 enrolled/eligible, 1,261 baseline; 189 complete chatbot records includes 142 chatbot-only; 41 complete-program records; 60/27 at 6 months. Nonrandomized stepped care with within-subject waiting period, not a concurrent randomized comparator. No independent human duplicate assessment.</t>
        </is>
      </c>
      <c r="AG27" s="4" t="inlineStr">
        <is>
          <t xml:space="preserve"/>
        </is>
      </c>
      <c r="AH27" s="4" t="inlineStr">
        <is>
          <t xml:space="preserve"/>
        </is>
      </c>
    </row>
    <row r="28" ht="99" customHeight="1">
      <c r="A28" s="4" t="inlineStr">
        <is>
          <t xml:space="preserve">S24</t>
        </is>
      </c>
      <c r="B28" s="4" t="inlineStr">
        <is>
          <t xml:space="preserve">Ulrich et al. (2024)</t>
        </is>
      </c>
      <c r="C28" s="5">
        <v>2024</v>
      </c>
      <c r="D28" s="4" t="inlineStr">
        <is>
          <t xml:space="preserve">BalanceUP</t>
        </is>
      </c>
      <c r="E28" s="4" t="inlineStr">
        <is>
          <t xml:space="preserve">Smartphone chatbot coach</t>
        </is>
      </c>
      <c r="F28" s="4" t="inlineStr">
        <is>
          <t xml:space="preserve">Personalized lifestyle coaching chatbot</t>
        </is>
      </c>
      <c r="G28" s="4" t="inlineStr">
        <is>
          <t xml:space="preserve">Chronic condition/headache self-management</t>
        </is>
      </c>
      <c r="H28" s="4" t="inlineStr">
        <is>
          <t xml:space="preserve">Adults with frequent headaches</t>
        </is>
      </c>
      <c r="I28" s="4" t="inlineStr">
        <is>
          <t xml:space="preserve">Switzerland</t>
        </is>
      </c>
      <c r="J28" s="4" t="inlineStr">
        <is>
          <t xml:space="preserve">Adults with headaches</t>
        </is>
      </c>
      <c r="K28" s="4" t="inlineStr">
        <is>
          <t xml:space="preserve">Randomized controlled trial</t>
        </is>
      </c>
      <c r="L28" s="4" t="inlineStr">
        <is>
          <t xml:space="preserve">Community/clinical recruitment</t>
        </is>
      </c>
      <c r="M28" s="4" t="inlineStr">
        <is>
          <t xml:space="preserve">198</t>
        </is>
      </c>
      <c r="N28" s="4" t="inlineStr">
        <is>
          <t xml:space="preserve">198 (110 intervention; 88 waitlist)</t>
        </is>
      </c>
      <c r="O28" s="4" t="inlineStr">
        <is>
          <t xml:space="preserve">PP PHQ-ADS 78/72; MIDAS 71/67; denominators vary by endpoint.</t>
        </is>
      </c>
      <c r="P28" s="4" t="inlineStr">
        <is>
          <t xml:space="preserve">ITT mixed-model estimates and endpoint-specific PP subsets; no common completer n for all endpoints.</t>
        </is>
      </c>
      <c r="Q28" s="4" t="inlineStr">
        <is>
          <t xml:space="preserve">Waitlist; ITT mixed models and endpoint-specific per-protocol results.</t>
        </is>
      </c>
      <c r="R28" s="4" t="inlineStr">
        <is>
          <t xml:space="preserve">Intervention period reported in final article</t>
        </is>
      </c>
      <c r="S28" s="4" t="inlineStr">
        <is>
          <t xml:space="preserve">Well-being, headache-related and app-use measures</t>
        </is>
      </c>
      <c r="T28" s="4" t="inlineStr">
        <is>
          <t xml:space="preserve">Use, adherence and coaching experience</t>
        </is>
      </c>
      <c r="U28" s="4" t="inlineStr">
        <is>
          <t xml:space="preserve">Remote lifestyle support</t>
        </is>
      </c>
      <c r="V28" s="4" t="inlineStr">
        <is>
          <t xml:space="preserve">Participant work/school/household impairment; not health-system workflow</t>
        </is>
      </c>
      <c r="W28" s="4" t="inlineStr">
        <is>
          <t xml:space="preserve">Well-being and headache-related outcomes</t>
        </is>
      </c>
      <c r="X28" s="4" t="inlineStr">
        <is>
          <t xml:space="preserve">Attrition and selected smartphone users</t>
        </is>
      </c>
      <c r="Y28" s="4" t="inlineStr">
        <is>
          <t xml:space="preserve">Waitlist comparison, incomplete intervention completion and condition-specific population.</t>
        </is>
      </c>
      <c r="Z28" s="4" t="inlineStr">
        <is>
          <t xml:space="preserve">Higher</t>
        </is>
      </c>
      <c r="AA28" s="4" t="inlineStr">
        <is>
          <t xml:space="preserve">https://doi.org/10.2196/50132</t>
        </is>
      </c>
      <c r="AB28" s="4" t="inlineStr">
        <is>
          <t xml:space="preserve">bounded_healthcare_sample</t>
        </is>
      </c>
      <c r="AC28" s="4" t="inlineStr">
        <is>
          <t xml:space="preserve">Added endpoint-specific participant productivity populations and retained separation from provider/health-system operations.</t>
        </is>
      </c>
      <c r="AD28" s="4" t="inlineStr">
        <is>
          <t xml:space="preserve">The report provides short-term patient-level mental-health/functioning evidence. PHQ-ADS per-protocol between-group d = -0.66 (95% CI -0.99 to -0.33); MIDAS d = -0.45 (95% CI -0.79 to -0.12). These are participant outcomes, not provider staffing savings.</t>
        </is>
      </c>
      <c r="AE28" s="4" t="inlineStr">
        <is>
          <t xml:space="preserve">Final journal article/abstract; N = 198, group sizes, completion and principal well-being result verified.</t>
        </is>
      </c>
      <c r="AF28" s="4" t="inlineStr">
        <is>
          <t xml:space="preserve">Targeted primary full-text recheck, 23 October 2026: Results: Table 3; Methods: outcome measures; Secondary Outcomes. This is not independent duplicate human extraction.</t>
        </is>
      </c>
      <c r="AG28" s="4" t="inlineStr">
        <is>
          <t xml:space="preserve">Results: Table 3; Methods: outcome measures; Secondary Outcomes</t>
        </is>
      </c>
      <c r="AH28" s="4" t="inlineStr">
        <is>
          <t xml:space="preserve">The report provides short-term patient-level mental-health/functioning evidence. PHQ-ADS per-protocol between-group d = -0.66 (95% CI -0.99 to -0.33); MIDAS d = -0.45 (95% CI -0.79 to -0.12). These are participant outcomes, not provider staffing savings.</t>
        </is>
      </c>
    </row>
  </sheetData>
  <autoFilter ref="A4:AH28"/>
  <mergeCells count="2">
    <mergeCell ref="A1:AH1"/>
    <mergeCell ref="A2:AH2"/>
  </mergeCells>
  <pageMargins left="0.3" right="0.3" top="0.5" bottom="0.5" header="0.2" footer="0.2"/>
</worksheet>
</file>

<file path=xl/worksheets/sheet5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sheetFormatPr defaultRowHeight="18"/>
  <cols>
    <col min="1" max="1" width="12" customWidth="1"/>
    <col min="2" max="2" width="36" customWidth="1"/>
    <col min="3" max="3" width="36" customWidth="1"/>
    <col min="4" max="4" width="36" customWidth="1"/>
    <col min="5" max="5" width="36" customWidth="1"/>
    <col min="6" max="6" width="42" customWidth="1"/>
    <col min="7" max="7" width="36" customWidth="1"/>
  </cols>
  <sheetData>
    <row r="1" ht="30" customHeight="1">
      <c r="A1" s="1" t="inlineStr">
        <is>
          <t xml:space="preserve">Source checks</t>
        </is>
      </c>
    </row>
    <row r="2" ht="34" customHeight="1">
      <c r="A2" s="2" t="inlineStr">
        <is>
          <t xml:space="preserve">Source: 01_data/source_verification_v2.csv. Report-level evidence; source-access limits and analytic roles are retained.</t>
        </is>
      </c>
    </row>
    <row r="4" ht="44" customHeight="1">
      <c r="A4" s="3" t="inlineStr">
        <is>
          <t xml:space="preserve">record_id</t>
        </is>
      </c>
      <c r="B4" s="3" t="inlineStr">
        <is>
          <t xml:space="preserve">date</t>
        </is>
      </c>
      <c r="C4" s="3" t="inlineStr">
        <is>
          <t xml:space="preserve">source_url</t>
        </is>
      </c>
      <c r="D4" s="3" t="inlineStr">
        <is>
          <t xml:space="preserve">access_level</t>
        </is>
      </c>
      <c r="E4" s="3" t="inlineStr">
        <is>
          <t xml:space="preserve">source_locator</t>
        </is>
      </c>
      <c r="F4" s="3" t="inlineStr">
        <is>
          <t xml:space="preserve">verified_scope</t>
        </is>
      </c>
      <c r="G4" s="3" t="inlineStr">
        <is>
          <t xml:space="preserve">independent_human_review</t>
        </is>
      </c>
    </row>
    <row r="5" ht="47" customHeight="1">
      <c r="A5" s="4" t="inlineStr">
        <is>
          <t xml:space="preserve">S01</t>
        </is>
      </c>
      <c r="B5" s="4" t="inlineStr">
        <is>
          <t xml:space="preserve">2026-10-23</t>
        </is>
      </c>
      <c r="C5" s="4" t="inlineStr">
        <is>
          <t xml:space="preserve">https://www.jmir.org/2019/4/e12887/</t>
        </is>
      </c>
      <c r="D5" s="4" t="inlineStr">
        <is>
          <t xml:space="preserve">Primary full text</t>
        </is>
      </c>
      <c r="E5" s="4" t="inlineStr">
        <is>
          <t xml:space="preserve">Results; Tables 1–6</t>
        </is>
      </c>
      <c r="F5" s="4" t="inlineStr">
        <is>
          <t xml:space="preserve">100 physician survey respondents; perceived task suitability and risks, not observed patient improvement.</t>
        </is>
      </c>
      <c r="G5" s="4" t="inlineStr">
        <is>
          <t xml:space="preserve">Not documented</t>
        </is>
      </c>
    </row>
    <row r="6" ht="47" customHeight="1">
      <c r="A6" s="4" t="inlineStr">
        <is>
          <t xml:space="preserve">S02</t>
        </is>
      </c>
      <c r="B6" s="4" t="inlineStr">
        <is>
          <t xml:space="preserve">2026-10-23</t>
        </is>
      </c>
      <c r="C6" s="4" t="inlineStr">
        <is>
          <t xml:space="preserve">https://journals.sagepub.com/doi/10.1177/2055207619871808</t>
        </is>
      </c>
      <c r="D6" s="4" t="inlineStr">
        <is>
          <t xml:space="preserve">Primary full text</t>
        </is>
      </c>
      <c r="E6" s="4" t="inlineStr">
        <is>
          <t xml:space="preserve">Results; quantitative sub-study; Table 2</t>
        </is>
      </c>
      <c r="F6" s="4" t="inlineStr">
        <is>
          <t xml:space="preserve">29 interviews; 215 analyzed survey respondents. Abstract mentions 216; the analyzed survey table uses 215.</t>
        </is>
      </c>
      <c r="G6" s="4" t="inlineStr">
        <is>
          <t xml:space="preserve">Not documented</t>
        </is>
      </c>
    </row>
    <row r="7" ht="47" customHeight="1">
      <c r="A7" s="4" t="inlineStr">
        <is>
          <t xml:space="preserve">S08</t>
        </is>
      </c>
      <c r="B7" s="4" t="inlineStr">
        <is>
          <t xml:space="preserve">2026-10-23</t>
        </is>
      </c>
      <c r="C7" s="4" t="inlineStr">
        <is>
          <t xml:space="preserve">https://www.jmir.org/2020/11/e15185/</t>
        </is>
      </c>
      <c r="D7" s="4" t="inlineStr">
        <is>
          <t xml:space="preserve">Primary full text</t>
        </is>
      </c>
      <c r="E7" s="4" t="inlineStr">
        <is>
          <t xml:space="preserve">Results: Demographics; Discussion</t>
        </is>
      </c>
      <c r="F7" s="4" t="inlineStr">
        <is>
          <t xml:space="preserve">10 French healthcare professionals interviewed about information-seeking chatbot; qualitative user evidence.</t>
        </is>
      </c>
      <c r="G7" s="4" t="inlineStr">
        <is>
          <t xml:space="preserve">Not documented</t>
        </is>
      </c>
    </row>
    <row r="8" ht="73" customHeight="1">
      <c r="A8" s="4" t="inlineStr">
        <is>
          <t xml:space="preserve">S09</t>
        </is>
      </c>
      <c r="B8" s="4" t="inlineStr">
        <is>
          <t xml:space="preserve">2026-10-23</t>
        </is>
      </c>
      <c r="C8" s="4" t="inlineStr">
        <is>
          <t xml:space="preserve">https://www.frontiersin.org/journals/digital-health/articles/10.3389/fdgth.2020.576361/full</t>
        </is>
      </c>
      <c r="D8" s="4" t="inlineStr">
        <is>
          <t xml:space="preserve">Primary full text</t>
        </is>
      </c>
      <c r="E8" s="4" t="inlineStr">
        <is>
          <t xml:space="preserve">Abstract; Methods—Participants; Results—Symptom Change</t>
        </is>
      </c>
      <c r="F8" s="4" t="inlineStr">
        <is>
          <t xml:space="preserve">3,629 first-phase completers analyzed: anxiety 1,648, depression 1,243, stress 738. Initial recruitment or installation denominator not reported; do not label completers as recruited.</t>
        </is>
      </c>
      <c r="G8" s="4" t="inlineStr">
        <is>
          <t xml:space="preserve">Not documented</t>
        </is>
      </c>
    </row>
    <row r="9" ht="60" customHeight="1">
      <c r="A9" s="4" t="inlineStr">
        <is>
          <t xml:space="preserve">S10</t>
        </is>
      </c>
      <c r="B9" s="4" t="inlineStr">
        <is>
          <t xml:space="preserve">2026-10-23</t>
        </is>
      </c>
      <c r="C9" s="4" t="inlineStr">
        <is>
          <t xml:space="preserve">https://onlinelibrary.wiley.com/doi/abs/10.1111/1468-5973.12319</t>
        </is>
      </c>
      <c r="D9" s="4" t="inlineStr">
        <is>
          <t xml:space="preserve">Primary abstract</t>
        </is>
      </c>
      <c r="E9" s="4" t="inlineStr">
        <is>
          <t xml:space="preserve">Abstract</t>
        </is>
      </c>
      <c r="F9" s="4" t="inlineStr">
        <is>
          <t xml:space="preserve">1114 US participants surveyed; motivation, communication and engagement associations. Detailed attrition not re-extracted.</t>
        </is>
      </c>
      <c r="G9" s="4" t="inlineStr">
        <is>
          <t xml:space="preserve">Not documented</t>
        </is>
      </c>
    </row>
    <row r="10" ht="60" customHeight="1">
      <c r="A10" s="4" t="inlineStr">
        <is>
          <t xml:space="preserve">S12</t>
        </is>
      </c>
      <c r="B10" s="4" t="inlineStr">
        <is>
          <t xml:space="preserve">2026-10-23</t>
        </is>
      </c>
      <c r="C10" s="4" t="inlineStr">
        <is>
          <t xml:space="preserve">https://www.jmir.org/2021/3/e24850/</t>
        </is>
      </c>
      <c r="D10" s="4" t="inlineStr">
        <is>
          <t xml:space="preserve">Primary full text</t>
        </is>
      </c>
      <c r="E10" s="4" t="inlineStr">
        <is>
          <t xml:space="preserve">Abstract; Results: Sample; Table 1</t>
        </is>
      </c>
      <c r="F10" s="4" t="inlineStr">
        <is>
          <t xml:space="preserve">101 analytic participants; 51 posttreatment respondents; eight-week single-group intervention with usability and symptom endpoints.</t>
        </is>
      </c>
      <c r="G10" s="4" t="inlineStr">
        <is>
          <t xml:space="preserve">Not documented</t>
        </is>
      </c>
    </row>
    <row r="11" ht="47" customHeight="1">
      <c r="A11" s="4" t="inlineStr">
        <is>
          <t xml:space="preserve">S13</t>
        </is>
      </c>
      <c r="B11" s="4" t="inlineStr">
        <is>
          <t xml:space="preserve">2026-10-23</t>
        </is>
      </c>
      <c r="C11" s="4" t="inlineStr">
        <is>
          <t xml:space="preserve">https://www.jmir.org/2021/1/e19928/</t>
        </is>
      </c>
      <c r="D11" s="4" t="inlineStr">
        <is>
          <t xml:space="preserve">Primary full text</t>
        </is>
      </c>
      <c r="E11" s="4" t="inlineStr">
        <is>
          <t xml:space="preserve">Methods; Results: Utilization</t>
        </is>
      </c>
      <c r="F11" s="4" t="inlineStr">
        <is>
          <t xml:space="preserve">16,519 users and 47,684 consultations over six months; usage outcomes do not establish clinical accuracy.</t>
        </is>
      </c>
      <c r="G11" s="4" t="inlineStr">
        <is>
          <t xml:space="preserve">Not documented</t>
        </is>
      </c>
    </row>
    <row r="12" ht="60" customHeight="1">
      <c r="A12" s="4" t="inlineStr">
        <is>
          <t xml:space="preserve">S15</t>
        </is>
      </c>
      <c r="B12" s="4" t="inlineStr">
        <is>
          <t xml:space="preserve">2026-10-23</t>
        </is>
      </c>
      <c r="C12" s="4" t="inlineStr">
        <is>
          <t xml:space="preserve">https://dl.acm.org/doi/10.1145/3411764.3445694</t>
        </is>
      </c>
      <c r="D12" s="4" t="inlineStr">
        <is>
          <t xml:space="preserve">Primary abstract</t>
        </is>
      </c>
      <c r="E12" s="4" t="inlineStr">
        <is>
          <t xml:space="preserve">Abstract</t>
        </is>
      </c>
      <c r="F12" s="4" t="inlineStr">
        <is>
          <t xml:space="preserve">Responses from 256 participants, including adolescents and medical personnel in six Bangladesh regions; prototype communication and experience analysis.</t>
        </is>
      </c>
      <c r="G12" s="4" t="inlineStr">
        <is>
          <t xml:space="preserve">Not documented</t>
        </is>
      </c>
    </row>
    <row r="13" ht="47" customHeight="1">
      <c r="A13" s="4" t="inlineStr">
        <is>
          <t xml:space="preserve">S16</t>
        </is>
      </c>
      <c r="B13" s="4" t="inlineStr">
        <is>
          <t xml:space="preserve">2026-10-23</t>
        </is>
      </c>
      <c r="C13" s="4" t="inlineStr">
        <is>
          <t xml:space="preserve">https://academic.oup.com/jamiaopen/article/4/2/ooab021/6236334</t>
        </is>
      </c>
      <c r="D13" s="4" t="inlineStr">
        <is>
          <t xml:space="preserve">Primary full text</t>
        </is>
      </c>
      <c r="E13" s="4" t="inlineStr">
        <is>
          <t xml:space="preserve">Methods; Results: Sample characteristics</t>
        </is>
      </c>
      <c r="F13" s="4" t="inlineStr">
        <is>
          <t xml:space="preserve">15 participants with hypertension; mixed-method self-management needs and perceptions; not a treatment trial.</t>
        </is>
      </c>
      <c r="G13" s="4" t="inlineStr">
        <is>
          <t xml:space="preserve">Not documented</t>
        </is>
      </c>
    </row>
    <row r="14" ht="60" customHeight="1">
      <c r="A14" s="4" t="inlineStr">
        <is>
          <t xml:space="preserve">S17</t>
        </is>
      </c>
      <c r="B14" s="4" t="inlineStr">
        <is>
          <t xml:space="preserve">2026-10-23</t>
        </is>
      </c>
      <c r="C14" s="4" t="inlineStr">
        <is>
          <t xml:space="preserve">https://doi.org/10.1016/j.ijmedinf.2021.104440</t>
        </is>
      </c>
      <c r="D14" s="4" t="inlineStr">
        <is>
          <t xml:space="preserve">Primary abstract and publisher excerpts</t>
        </is>
      </c>
      <c r="E14" s="4" t="inlineStr">
        <is>
          <t xml:space="preserve">Abstract: Methods/Results</t>
        </is>
      </c>
      <c r="F14" s="4" t="inlineStr">
        <is>
          <t xml:space="preserve">46 randomized 23/23; four-week pilot; ITT analysis 23/23. Endpoint completer count was not established by the accessible excerpt.</t>
        </is>
      </c>
      <c r="G14" s="4" t="inlineStr">
        <is>
          <t xml:space="preserve">Not documented</t>
        </is>
      </c>
    </row>
    <row r="15" ht="73" customHeight="1">
      <c r="A15" s="4" t="inlineStr">
        <is>
          <t xml:space="preserve">S19</t>
        </is>
      </c>
      <c r="B15" s="4" t="inlineStr">
        <is>
          <t xml:space="preserve">2026-10-23</t>
        </is>
      </c>
      <c r="C15" s="4" t="inlineStr">
        <is>
          <t xml:space="preserve">https://onlinelibrary.wiley.com/doi/abs/10.1002/eat.23662</t>
        </is>
      </c>
      <c r="D15" s="4" t="inlineStr">
        <is>
          <t xml:space="preserve">Primary abstract</t>
        </is>
      </c>
      <c r="E15" s="4" t="inlineStr">
        <is>
          <t xml:space="preserve">Abstract: Method/Results</t>
        </is>
      </c>
      <c r="F15" s="4" t="inlineStr">
        <is>
          <t xml:space="preserve">700 randomized; weight/shape concerns improved at 3/6 months; no depression/anxiety between-group differences; exact endpoint completer counts not in abstract.</t>
        </is>
      </c>
      <c r="G15" s="4" t="inlineStr">
        <is>
          <t xml:space="preserve">Not documented</t>
        </is>
      </c>
    </row>
    <row r="16" ht="60" customHeight="1">
      <c r="A16" s="4" t="inlineStr">
        <is>
          <t xml:space="preserve">S20</t>
        </is>
      </c>
      <c r="B16" s="4" t="inlineStr">
        <is>
          <t xml:space="preserve">2026-10-23</t>
        </is>
      </c>
      <c r="C16" s="4" t="inlineStr">
        <is>
          <t xml:space="preserve">https://www.sciencedirect.com/science/article/pii/S2214782923000374</t>
        </is>
      </c>
      <c r="D16" s="4" t="inlineStr">
        <is>
          <t xml:space="preserve">Primary abstract and publisher highlights</t>
        </is>
      </c>
      <c r="E16" s="4" t="inlineStr">
        <is>
          <t xml:space="preserve">Abstract; Highlights</t>
        </is>
      </c>
      <c r="F16" s="4" t="inlineStr">
        <is>
          <t xml:space="preserve">256 adults; eight-week relational-agent study; uncontrolled stress/burnout/resilience change, not established causal efficacy.</t>
        </is>
      </c>
      <c r="G16" s="4" t="inlineStr">
        <is>
          <t xml:space="preserve">Not documented</t>
        </is>
      </c>
    </row>
    <row r="17" ht="60" customHeight="1">
      <c r="A17" s="4" t="inlineStr">
        <is>
          <t xml:space="preserve">S22</t>
        </is>
      </c>
      <c r="B17" s="4" t="inlineStr">
        <is>
          <t xml:space="preserve">2026-10-23</t>
        </is>
      </c>
      <c r="C17" s="4" t="inlineStr">
        <is>
          <t xml:space="preserve">https://journals.plos.org/plosone/article?id=10.1371/journal.pone.0303370</t>
        </is>
      </c>
      <c r="D17" s="4" t="inlineStr">
        <is>
          <t xml:space="preserve">Primary full text</t>
        </is>
      </c>
      <c r="E17" s="4" t="inlineStr">
        <is>
          <t xml:space="preserve">Abstract; Results: participant flow</t>
        </is>
      </c>
      <c r="F17" s="4" t="inlineStr">
        <is>
          <t xml:space="preserve">1,584 randomized; 215 treatment and 296 control completed baseline/endline anxiety assessments; outcome-specific attrition.</t>
        </is>
      </c>
      <c r="G17" s="4" t="inlineStr">
        <is>
          <t xml:space="preserve">Not documented</t>
        </is>
      </c>
    </row>
    <row r="18" ht="47" customHeight="1">
      <c r="A18" s="4" t="inlineStr">
        <is>
          <t xml:space="preserve">U01</t>
        </is>
      </c>
      <c r="B18" s="4" t="inlineStr">
        <is>
          <t xml:space="preserve">2026-10-23</t>
        </is>
      </c>
      <c r="C18" s="4" t="inlineStr">
        <is>
          <t xml:space="preserve">https://www.jmir.org/2026/1/e97773/</t>
        </is>
      </c>
      <c r="D18" s="4" t="inlineStr">
        <is>
          <t xml:space="preserve">Primary full text</t>
        </is>
      </c>
      <c r="E18" s="4" t="inlineStr">
        <is>
          <t xml:space="preserve">Abstract; Methods; Table 1</t>
        </is>
      </c>
      <c r="F18" s="4" t="inlineStr">
        <is>
          <t xml:space="preserve">1000 US adults; randomized descriptions/normative messaging; endpoint is usage intention.</t>
        </is>
      </c>
      <c r="G18" s="4" t="inlineStr">
        <is>
          <t xml:space="preserve">Not documented</t>
        </is>
      </c>
    </row>
    <row r="19" ht="47" customHeight="1">
      <c r="A19" s="4" t="inlineStr">
        <is>
          <t xml:space="preserve">U02</t>
        </is>
      </c>
      <c r="B19" s="4" t="inlineStr">
        <is>
          <t xml:space="preserve">2026-10-23</t>
        </is>
      </c>
      <c r="C19" s="4" t="inlineStr">
        <is>
          <t xml:space="preserve">https://formative.jmir.org/2026/1/e86149/</t>
        </is>
      </c>
      <c r="D19" s="4" t="inlineStr">
        <is>
          <t xml:space="preserve">Primary full text</t>
        </is>
      </c>
      <c r="E19" s="4" t="inlineStr">
        <is>
          <t xml:space="preserve">Abstract; Results: Table 2</t>
        </is>
      </c>
      <c r="F19" s="4" t="inlineStr">
        <is>
          <t xml:space="preserve">40 patients 20/20; unscheduled hospital visits 3/20 vs 7/20, P = .24; not an established utilization reduction.</t>
        </is>
      </c>
      <c r="G19" s="4" t="inlineStr">
        <is>
          <t xml:space="preserve">Not documented</t>
        </is>
      </c>
    </row>
    <row r="20" ht="73" customHeight="1">
      <c r="A20" s="4" t="inlineStr">
        <is>
          <t xml:space="preserve">U03</t>
        </is>
      </c>
      <c r="B20" s="4" t="inlineStr">
        <is>
          <t xml:space="preserve">2026-10-23</t>
        </is>
      </c>
      <c r="C20" s="4" t="inlineStr">
        <is>
          <t xml:space="preserve">https://www.nicholasjacobson.com/publication/heinz-mackin-trudeau-bhattacharya-wang-et-al-2025/</t>
        </is>
      </c>
      <c r="D20" s="4" t="inlineStr">
        <is>
          <t xml:space="preserve">Primary-author-hosted abstract</t>
        </is>
      </c>
      <c r="E20" s="4" t="inlineStr">
        <is>
          <t xml:space="preserve">Methods and Results in reproduced publication abstract</t>
        </is>
      </c>
      <c r="F20" s="4" t="inlineStr">
        <is>
          <t xml:space="preserve">210 randomized 106 Therabot/104 waitlist; 4 week intervention and 8 week follow-up. No active clinician comparator. Complete publisher full text remained inaccessible.</t>
        </is>
      </c>
      <c r="G20" s="4" t="inlineStr">
        <is>
          <t xml:space="preserve">Not documented</t>
        </is>
      </c>
    </row>
    <row r="21" ht="60" customHeight="1">
      <c r="A21" s="4" t="inlineStr">
        <is>
          <t xml:space="preserve">U04</t>
        </is>
      </c>
      <c r="B21" s="4" t="inlineStr">
        <is>
          <t xml:space="preserve">2026-10-23</t>
        </is>
      </c>
      <c r="C21" s="4" t="inlineStr">
        <is>
          <t xml:space="preserve">https://jamanetwork.com/journals/jamanetworkopen/fullarticle/2847751</t>
        </is>
      </c>
      <c r="D21" s="4" t="inlineStr">
        <is>
          <t xml:space="preserve">Primary full text</t>
        </is>
      </c>
      <c r="E21" s="4" t="inlineStr">
        <is>
          <t xml:space="preserve">Results; Table 1; structural equation analysis</t>
        </is>
      </c>
      <c r="F21" s="4" t="inlineStr">
        <is>
          <t xml:space="preserve">995 randomized 336 AI/331 group therapy/328 waitlist; outcome-specific benefits; no PTSD difference; alliance associations not randomized mediation.</t>
        </is>
      </c>
      <c r="G21" s="4" t="inlineStr">
        <is>
          <t xml:space="preserve">Not documented</t>
        </is>
      </c>
    </row>
    <row r="22" ht="164" customHeight="1">
      <c r="A22" s="4" t="inlineStr">
        <is>
          <t xml:space="preserve">S11</t>
        </is>
      </c>
      <c r="B22" s="4" t="inlineStr">
        <is>
          <t xml:space="preserve">2026-10-23</t>
        </is>
      </c>
      <c r="C22" s="4" t="inlineStr">
        <is>
          <t xml:space="preserve">https://pmc.ncbi.nlm.nih.gov/articles/PMC7313990/</t>
        </is>
      </c>
      <c r="D22" s="4" t="inlineStr">
        <is>
          <t xml:space="preserve">Primary full text</t>
        </is>
      </c>
      <c r="E22" s="4" t="inlineStr">
        <is>
          <t xml:space="preserve">Results: Impact on Operations; Discussion: limitations</t>
        </is>
      </c>
      <c r="F22" s="4" t="inlineStr">
        <is>
          <t xml:space="preserve">Operational deployment; direct entrance-clearance timing: manual n = 28, digital n = 20. Mean clearance 48 versus 8 seconds; peak-shift mean queue 8 minutes 20 seconds versus 1 minute 40 seconds. Observed entrance-clearance and queue times were lower with digital screening. The authors extrapolated more than 15,000 employee waiting hours saved and reported staffing/cost savings, but did not provide a comprehensive quantified net-cost-effectiveness comparison.</t>
        </is>
      </c>
      <c r="G22" s="4" t="inlineStr">
        <is>
          <t xml:space="preserve">Not documented</t>
        </is>
      </c>
    </row>
    <row r="23" ht="177" customHeight="1">
      <c r="A23" s="4" t="inlineStr">
        <is>
          <t xml:space="preserve">S18</t>
        </is>
      </c>
      <c r="B23" s="4" t="inlineStr">
        <is>
          <t xml:space="preserve">2026-10-23</t>
        </is>
      </c>
      <c r="C23" s="4" t="inlineStr">
        <is>
          <t xml:space="preserve">https://www.jmir.org/2022/11/e40719/</t>
        </is>
      </c>
      <c r="D23" s="4" t="inlineStr">
        <is>
          <t xml:space="preserve">Primary full text</t>
        </is>
      </c>
      <c r="E23" s="4" t="inlineStr">
        <is>
          <t xml:space="preserve">Methods: Statistical Analysis; Results: Table 2 and Table 3; PP Analysis</t>
        </is>
      </c>
      <c r="F23" s="4" t="inlineStr">
        <is>
          <t xml:space="preserve">148 randomized: XiaoE 49, e-book 49, Xiaoai 50. Table 2 observed endpoint counts: day 7, 45/39/41 (125 total); day 30, 44/32/30 (106 total). ITT uses multiple imputation; observed counts are not the full ITT denominator. Short-term PHQ-9 comparisons favored XiaoE. At day 30 the e-book comparison was not robust to missing-data sensitivity analysis and was nonsignificant in the per-protocol post-hoc test. Results depend on comparator, endpoint and analysis population.</t>
        </is>
      </c>
      <c r="G23" s="4" t="inlineStr">
        <is>
          <t xml:space="preserve">Not documented</t>
        </is>
      </c>
    </row>
    <row r="24" ht="151" customHeight="1">
      <c r="A24" s="4" t="inlineStr">
        <is>
          <t xml:space="preserve">S21</t>
        </is>
      </c>
      <c r="B24" s="4" t="inlineStr">
        <is>
          <t xml:space="preserve">2026-10-23</t>
        </is>
      </c>
      <c r="C24" s="4" t="inlineStr">
        <is>
          <t xml:space="preserve">https://www.jmir.org/2023/1/e43051/</t>
        </is>
      </c>
      <c r="D24" s="4" t="inlineStr">
        <is>
          <t xml:space="preserve">Primary full text</t>
        </is>
      </c>
      <c r="E24" s="4" t="inlineStr">
        <is>
          <t xml:space="preserve">Results: Tables 2–4; User Feedback; Limitations</t>
        </is>
      </c>
      <c r="F24" s="4" t="inlineStr">
        <is>
          <t xml:space="preserve">348 recruited; instrument-specific baseline/midpoint/endpoint: SWEMWBS 275/37/19; WHO-5 270/34/16; SWLS 268/33/18. Feedback respondents n = 87. The study describes usage and participant feedback; standardized well-being changes were not statistically significant. Endpoint samples were small and differed by instrument. No direct provider-workload or organizational-cost endpoint was measured.</t>
        </is>
      </c>
      <c r="G24" s="4" t="inlineStr">
        <is>
          <t xml:space="preserve">Not documented</t>
        </is>
      </c>
    </row>
    <row r="25" ht="164" customHeight="1">
      <c r="A25" s="4" t="inlineStr">
        <is>
          <t xml:space="preserve">S24</t>
        </is>
      </c>
      <c r="B25" s="4" t="inlineStr">
        <is>
          <t xml:space="preserve">2026-10-23</t>
        </is>
      </c>
      <c r="C25" s="4" t="inlineStr">
        <is>
          <t xml:space="preserve">https://www.jmir.org/2024/1/e50132/</t>
        </is>
      </c>
      <c r="D25" s="4" t="inlineStr">
        <is>
          <t xml:space="preserve">Primary full text</t>
        </is>
      </c>
      <c r="E25" s="4" t="inlineStr">
        <is>
          <t xml:space="preserve">Results: Table 3; Methods: outcome measures; Secondary Outcomes</t>
        </is>
      </c>
      <c r="F25" s="4" t="inlineStr">
        <is>
          <t xml:space="preserve">198 randomized (110 intervention, 88 control). Table 3 PHQ-ADS per-protocol n = 78/72; MIDAS absenteeism/presenteeism n = 71/67. The combined coaching-completion denominator 182 is a different population. The report provides short-term patient-level mental-health/functioning evidence. PHQ-ADS per-protocol between-group d = -0.66 (95% CI -0.99 to -0.33); MIDAS d = -0.45 (95% CI -0.79 to -0.12). These are participant outcomes, not provider staffing savings.</t>
        </is>
      </c>
      <c r="G25" s="4" t="inlineStr">
        <is>
          <t xml:space="preserve">Not documented</t>
        </is>
      </c>
    </row>
    <row r="26" ht="60" customHeight="1">
      <c r="A26" s="4" t="inlineStr">
        <is>
          <t xml:space="preserve">S05</t>
        </is>
      </c>
      <c r="B26" s="4" t="inlineStr">
        <is>
          <t xml:space="preserve">2026-10-23</t>
        </is>
      </c>
      <c r="C26" s="4" t="inlineStr">
        <is>
          <t xml:space="preserve">https://www.jmir.org/2019/11/e15787/</t>
        </is>
      </c>
      <c r="D26" s="4" t="inlineStr">
        <is>
          <t xml:space="preserve">Primary full text</t>
        </is>
      </c>
      <c r="E26" s="4" t="inlineStr">
        <is>
          <t xml:space="preserve">Methods: Procedures/Outcomes; Results</t>
        </is>
      </c>
      <c r="F26" s="4" t="inlineStr">
        <is>
          <t xml:space="preserve">142 randomized 71/71; overall information-satisfaction noninferiority with 10% margin, 69% versus 64% success; predefined prechecked answers.</t>
        </is>
      </c>
      <c r="G26" s="4" t="inlineStr">
        <is>
          <t xml:space="preserve">Not documented</t>
        </is>
      </c>
    </row>
    <row r="27" ht="47" customHeight="1">
      <c r="A27" s="4" t="inlineStr">
        <is>
          <t xml:space="preserve">S04</t>
        </is>
      </c>
      <c r="B27" s="4" t="inlineStr">
        <is>
          <t xml:space="preserve">2026-10-23</t>
        </is>
      </c>
      <c r="C27" s="4" t="inlineStr">
        <is>
          <t xml:space="preserve">https://link.springer.com/article/10.1186/s12911-019-0796-x</t>
        </is>
      </c>
      <c r="D27" s="4" t="inlineStr">
        <is>
          <t xml:space="preserve">Primary full text</t>
        </is>
      </c>
      <c r="E27" s="4" t="inlineStr">
        <is>
          <t xml:space="preserve">Experimental method; dependent measures</t>
        </is>
      </c>
      <c r="F27" s="4" t="inlineStr">
        <is>
          <t xml:space="preserve">160 participants in referral-intention experiment; intended self-referral, not verified completed referral.</t>
        </is>
      </c>
      <c r="G27" s="4" t="inlineStr">
        <is>
          <t xml:space="preserve">Not documented</t>
        </is>
      </c>
    </row>
    <row r="28" ht="47" customHeight="1">
      <c r="A28" s="4" t="inlineStr">
        <is>
          <t xml:space="preserve">F01-PROCTOR</t>
        </is>
      </c>
      <c r="B28" s="4" t="inlineStr">
        <is>
          <t xml:space="preserve">2026-10-23</t>
        </is>
      </c>
      <c r="C28" s="4" t="inlineStr">
        <is>
          <t xml:space="preserve">https://link.springer.com/article/10.1007/s10488-010-0319-7</t>
        </is>
      </c>
      <c r="D28" s="4" t="inlineStr">
        <is>
          <t xml:space="preserve">Primary methodological article</t>
        </is>
      </c>
      <c r="E28" s="4" t="inlineStr">
        <is>
          <t xml:space="preserve">Abstract; outcome taxonomy; measurement challenges</t>
        </is>
      </c>
      <c r="F28" s="4" t="inlineStr">
        <is>
          <t xml:space="preserve">Distinguishes implementation outcomes from service/clinical outcomes; discusses measurement and unit of analysis.</t>
        </is>
      </c>
      <c r="G28" s="4" t="inlineStr">
        <is>
          <t xml:space="preserve">Not documented</t>
        </is>
      </c>
    </row>
    <row r="29" ht="60" customHeight="1">
      <c r="A29" s="4" t="inlineStr">
        <is>
          <t xml:space="preserve">F02-NASSS</t>
        </is>
      </c>
      <c r="B29" s="4" t="inlineStr">
        <is>
          <t xml:space="preserve">2026-10-23</t>
        </is>
      </c>
      <c r="C29" s="4" t="inlineStr">
        <is>
          <t xml:space="preserve">https://www.jmir.org/2017/11/e367/</t>
        </is>
      </c>
      <c r="D29" s="4" t="inlineStr">
        <is>
          <t xml:space="preserve">Primary methodological article</t>
        </is>
      </c>
      <c r="E29" s="4" t="inlineStr">
        <is>
          <t xml:space="preserve">Results: seven domains; framework use</t>
        </is>
      </c>
      <c r="F29" s="4" t="inlineStr">
        <is>
          <t xml:space="preserve">Condition, technology, value proposition, adopters, organization, wider context, and adaptation over time; reflexive complexity framework.</t>
        </is>
      </c>
      <c r="G29" s="4" t="inlineStr">
        <is>
          <t xml:space="preserve">Not documented</t>
        </is>
      </c>
    </row>
    <row r="30" ht="60" customHeight="1">
      <c r="A30" s="4" t="inlineStr">
        <is>
          <t xml:space="preserve">F03-NICE</t>
        </is>
      </c>
      <c r="B30" s="4" t="inlineStr">
        <is>
          <t xml:space="preserve">2026-10-23</t>
        </is>
      </c>
      <c r="C30" s="4" t="inlineStr">
        <is>
          <t xml:space="preserve">https://www.nice.org.uk/corporate/ecd7/chapter/how-to-meet-the-standards</t>
        </is>
      </c>
      <c r="D30" s="4" t="inlineStr">
        <is>
          <t xml:space="preserve">Official guidance; indexed text</t>
        </is>
      </c>
      <c r="E30" s="4" t="inlineStr">
        <is>
          <t xml:space="preserve">Section B classification; Standards 13, 16, 17, 18</t>
        </is>
      </c>
      <c r="F30" s="4" t="inlineStr">
        <is>
          <t xml:space="preserve">Purpose/risk-proportionate evidence; comparison with current care, monitoring, budget impact, and cost-effectiveness for higher financial risk.</t>
        </is>
      </c>
      <c r="G30" s="4" t="inlineStr">
        <is>
          <t xml:space="preserve">Not documented</t>
        </is>
      </c>
    </row>
    <row r="31" ht="60" customHeight="1">
      <c r="A31" s="4" t="inlineStr">
        <is>
          <t xml:space="preserve">S03</t>
        </is>
      </c>
      <c r="B31" s="4" t="inlineStr">
        <is>
          <t xml:space="preserve">2026-10-23</t>
        </is>
      </c>
      <c r="C31" s="4" t="inlineStr">
        <is>
          <t xml:space="preserve">https://onlinelibrary.wiley.com/doi/abs/10.1155/2019/9517321</t>
        </is>
      </c>
      <c r="D31" s="4" t="inlineStr">
        <is>
          <t xml:space="preserve">Primary full text in publisher indexed record</t>
        </is>
      </c>
      <c r="E31" s="4" t="inlineStr">
        <is>
          <t xml:space="preserve">Sections 6.2–6.3; Table 3</t>
        </is>
      </c>
      <c r="F31" s="4" t="inlineStr">
        <is>
          <t xml:space="preserve">27 students randomly assigned 15/12; one-session SAT course; pre/post mental measures and TAM-based user motivation; not longitudinal use.</t>
        </is>
      </c>
      <c r="G31" s="4" t="inlineStr">
        <is>
          <t xml:space="preserve">Not documented</t>
        </is>
      </c>
    </row>
    <row r="32" ht="86" customHeight="1">
      <c r="A32" s="4" t="inlineStr">
        <is>
          <t xml:space="preserve">S14</t>
        </is>
      </c>
      <c r="B32" s="4" t="inlineStr">
        <is>
          <t xml:space="preserve">2026-10-23</t>
        </is>
      </c>
      <c r="C32" s="4" t="inlineStr">
        <is>
          <t xml:space="preserve">https://pure.ulster.ac.uk/en/publications/can-chatbots-help-support-a-persons-mental-health-perceptions-and/</t>
        </is>
      </c>
      <c r="D32" s="4" t="inlineStr">
        <is>
          <t xml:space="preserve">Author-institution-hosted primary abstract</t>
        </is>
      </c>
      <c r="E32" s="4" t="inlineStr">
        <is>
          <t xml:space="preserve">Abstract</t>
        </is>
      </c>
      <c r="F32" s="4" t="inlineStr">
        <is>
          <t xml:space="preserve">Online survey of mental healthcare professionals and experts; attitudes/perceptions, not a qualitative interview study or observed clinical effect. The inherited n = 100 was not separately re-extracted from full text here.</t>
        </is>
      </c>
      <c r="G32" s="4" t="inlineStr">
        <is>
          <t xml:space="preserve">Not documented</t>
        </is>
      </c>
    </row>
    <row r="33" ht="99" customHeight="1">
      <c r="A33" s="4" t="inlineStr">
        <is>
          <t xml:space="preserve">S23</t>
        </is>
      </c>
      <c r="B33" s="4" t="inlineStr">
        <is>
          <t xml:space="preserve">2026-10-23</t>
        </is>
      </c>
      <c r="C33" s="4" t="inlineStr">
        <is>
          <t xml:space="preserve">https://onlinelibrary.wiley.com/doi/abs/10.1155/2024/8950388</t>
        </is>
      </c>
      <c r="D33" s="4" t="inlineStr">
        <is>
          <t xml:space="preserve">Primary full text in publisher indexed record</t>
        </is>
      </c>
      <c r="E33" s="4" t="inlineStr">
        <is>
          <t xml:space="preserve">Methods 2.1–2.5; Results; Table 1</t>
        </is>
      </c>
      <c r="F33" s="4" t="inlineStr">
        <is>
          <t xml:space="preserve">1,752 enrolled/eligible, 1,261 baseline; 189 complete chatbot records includes 142 chatbot-only; 41 complete-program records; 60/27 at 6 months. Nonrandomized stepped care with within-subject waiting period, not a concurrent randomized comparator.</t>
        </is>
      </c>
      <c r="G33" s="4" t="inlineStr">
        <is>
          <t xml:space="preserve">Not documented</t>
        </is>
      </c>
    </row>
  </sheetData>
  <autoFilter ref="A4:G33"/>
  <mergeCells count="2">
    <mergeCell ref="A1:G1"/>
    <mergeCell ref="A2:G2"/>
  </mergeCells>
  <pageMargins left="0.3" right="0.3" top="0.5" bottom="0.5" header="0.2" footer="0.2"/>
</worksheet>
</file>

<file path=xl/worksheets/sheet6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sheetFormatPr defaultRowHeight="18"/>
  <cols>
    <col min="1" max="1" width="12" customWidth="1"/>
    <col min="2" max="2" width="36" customWidth="1"/>
    <col min="3" max="3" width="36" customWidth="1"/>
    <col min="4" max="4" width="12" customWidth="1"/>
    <col min="5" max="5" width="16" customWidth="1"/>
    <col min="6" max="6" width="36" customWidth="1"/>
    <col min="7" max="7" width="36" customWidth="1"/>
    <col min="8" max="8" width="42" customWidth="1"/>
  </cols>
  <sheetData>
    <row r="1" ht="30" customHeight="1">
      <c r="A1" s="1" t="inlineStr">
        <is>
          <t xml:space="preserve">Verified endpoints</t>
        </is>
      </c>
    </row>
    <row r="2" ht="34" customHeight="1">
      <c r="A2" s="2" t="inlineStr">
        <is>
          <t xml:space="preserve">Source: 01_data/verified_endpoints.csv. Report-level evidence; source-access limits and analytic roles are retained.</t>
        </is>
      </c>
    </row>
    <row r="4" ht="44" customHeight="1">
      <c r="A4" s="3" t="inlineStr">
        <is>
          <t xml:space="preserve">record_id</t>
        </is>
      </c>
      <c r="B4" s="3" t="inlineStr">
        <is>
          <t xml:space="preserve">endpoint</t>
        </is>
      </c>
      <c r="C4" s="3" t="inlineStr">
        <is>
          <t xml:space="preserve">group</t>
        </is>
      </c>
      <c r="D4" s="3" t="inlineStr">
        <is>
          <t xml:space="preserve">n</t>
        </is>
      </c>
      <c r="E4" s="3" t="inlineStr">
        <is>
          <t xml:space="preserve">value</t>
        </is>
      </c>
      <c r="F4" s="3" t="inlineStr">
        <is>
          <t xml:space="preserve">unit</t>
        </is>
      </c>
      <c r="G4" s="3" t="inlineStr">
        <is>
          <t xml:space="preserve">timepoint</t>
        </is>
      </c>
      <c r="H4" s="3" t="inlineStr">
        <is>
          <t xml:space="preserve">note</t>
        </is>
      </c>
    </row>
    <row r="5" ht="32" customHeight="1">
      <c r="A5" s="4" t="inlineStr">
        <is>
          <t xml:space="preserve">S11</t>
        </is>
      </c>
      <c r="B5" s="4" t="inlineStr">
        <is>
          <t xml:space="preserve">entrance_clearance</t>
        </is>
      </c>
      <c r="C5" s="4" t="inlineStr">
        <is>
          <t xml:space="preserve">manual</t>
        </is>
      </c>
      <c r="D5" s="5">
        <v>28</v>
      </c>
      <c r="E5" s="5">
        <v>48</v>
      </c>
      <c r="F5" s="4" t="inlineStr">
        <is>
          <t xml:space="preserve">seconds</t>
        </is>
      </c>
      <c r="G5" s="4" t="inlineStr">
        <is>
          <t xml:space="preserve">implementation observation</t>
        </is>
      </c>
      <c r="H5" s="4" t="inlineStr">
        <is>
          <t xml:space="preserve">Observed mean; nonrandomized</t>
        </is>
      </c>
    </row>
    <row r="6" ht="32" customHeight="1">
      <c r="A6" s="4" t="inlineStr">
        <is>
          <t xml:space="preserve">S11</t>
        </is>
      </c>
      <c r="B6" s="4" t="inlineStr">
        <is>
          <t xml:space="preserve">entrance_clearance</t>
        </is>
      </c>
      <c r="C6" s="4" t="inlineStr">
        <is>
          <t xml:space="preserve">digital</t>
        </is>
      </c>
      <c r="D6" s="5">
        <v>20</v>
      </c>
      <c r="E6" s="5">
        <v>8</v>
      </c>
      <c r="F6" s="4" t="inlineStr">
        <is>
          <t xml:space="preserve">seconds</t>
        </is>
      </c>
      <c r="G6" s="4" t="inlineStr">
        <is>
          <t xml:space="preserve">implementation observation</t>
        </is>
      </c>
      <c r="H6" s="4" t="inlineStr">
        <is>
          <t xml:space="preserve">Observed mean; nonrandomized</t>
        </is>
      </c>
    </row>
    <row r="7" ht="32" customHeight="1">
      <c r="A7" s="4" t="inlineStr">
        <is>
          <t xml:space="preserve">S11</t>
        </is>
      </c>
      <c r="B7" s="4" t="inlineStr">
        <is>
          <t xml:space="preserve">peak_shift_queue</t>
        </is>
      </c>
      <c r="C7" s="4" t="inlineStr">
        <is>
          <t xml:space="preserve">before</t>
        </is>
      </c>
      <c r="D7" s="4" t="inlineStr">
        <is>
          <t xml:space="preserve"/>
        </is>
      </c>
      <c r="E7" s="5">
        <v>500</v>
      </c>
      <c r="F7" s="4" t="inlineStr">
        <is>
          <t xml:space="preserve">seconds</t>
        </is>
      </c>
      <c r="G7" s="4" t="inlineStr">
        <is>
          <t xml:space="preserve">peak shift</t>
        </is>
      </c>
      <c r="H7" s="4" t="inlineStr">
        <is>
          <t xml:space="preserve">Reported mean; sample not specified</t>
        </is>
      </c>
    </row>
    <row r="8" ht="32" customHeight="1">
      <c r="A8" s="4" t="inlineStr">
        <is>
          <t xml:space="preserve">S11</t>
        </is>
      </c>
      <c r="B8" s="4" t="inlineStr">
        <is>
          <t xml:space="preserve">peak_shift_queue</t>
        </is>
      </c>
      <c r="C8" s="4" t="inlineStr">
        <is>
          <t xml:space="preserve">after</t>
        </is>
      </c>
      <c r="D8" s="4" t="inlineStr">
        <is>
          <t xml:space="preserve"/>
        </is>
      </c>
      <c r="E8" s="5">
        <v>100</v>
      </c>
      <c r="F8" s="4" t="inlineStr">
        <is>
          <t xml:space="preserve">seconds</t>
        </is>
      </c>
      <c r="G8" s="4" t="inlineStr">
        <is>
          <t xml:space="preserve">peak shift</t>
        </is>
      </c>
      <c r="H8" s="4" t="inlineStr">
        <is>
          <t xml:space="preserve">Reported mean; sample not specified</t>
        </is>
      </c>
    </row>
    <row r="9" ht="34" customHeight="1">
      <c r="A9" s="4" t="inlineStr">
        <is>
          <t xml:space="preserve">S18</t>
        </is>
      </c>
      <c r="B9" s="4" t="inlineStr">
        <is>
          <t xml:space="preserve">PHQ9_population</t>
        </is>
      </c>
      <c r="C9" s="4" t="inlineStr">
        <is>
          <t xml:space="preserve">XiaoE</t>
        </is>
      </c>
      <c r="D9" s="5">
        <v>49</v>
      </c>
      <c r="E9" s="4" t="inlineStr">
        <is>
          <t xml:space="preserve"/>
        </is>
      </c>
      <c r="F9" s="4" t="inlineStr">
        <is>
          <t xml:space="preserve">participants</t>
        </is>
      </c>
      <c r="G9" s="4" t="inlineStr">
        <is>
          <t xml:space="preserve">randomized</t>
        </is>
      </c>
      <c r="H9" s="4" t="inlineStr">
        <is>
          <t xml:space="preserve">Observed endpoint counts and full randomized ITT with imputation are distinct</t>
        </is>
      </c>
    </row>
    <row r="10" ht="34" customHeight="1">
      <c r="A10" s="4" t="inlineStr">
        <is>
          <t xml:space="preserve">S18</t>
        </is>
      </c>
      <c r="B10" s="4" t="inlineStr">
        <is>
          <t xml:space="preserve">PHQ9_population</t>
        </is>
      </c>
      <c r="C10" s="4" t="inlineStr">
        <is>
          <t xml:space="preserve">ebook</t>
        </is>
      </c>
      <c r="D10" s="5">
        <v>49</v>
      </c>
      <c r="E10" s="4" t="inlineStr">
        <is>
          <t xml:space="preserve"/>
        </is>
      </c>
      <c r="F10" s="4" t="inlineStr">
        <is>
          <t xml:space="preserve">participants</t>
        </is>
      </c>
      <c r="G10" s="4" t="inlineStr">
        <is>
          <t xml:space="preserve">randomized</t>
        </is>
      </c>
      <c r="H10" s="4" t="inlineStr">
        <is>
          <t xml:space="preserve">Observed endpoint counts and full randomized ITT with imputation are distinct</t>
        </is>
      </c>
    </row>
    <row r="11" ht="34" customHeight="1">
      <c r="A11" s="4" t="inlineStr">
        <is>
          <t xml:space="preserve">S18</t>
        </is>
      </c>
      <c r="B11" s="4" t="inlineStr">
        <is>
          <t xml:space="preserve">PHQ9_population</t>
        </is>
      </c>
      <c r="C11" s="4" t="inlineStr">
        <is>
          <t xml:space="preserve">Xiaoai</t>
        </is>
      </c>
      <c r="D11" s="5">
        <v>50</v>
      </c>
      <c r="E11" s="4" t="inlineStr">
        <is>
          <t xml:space="preserve"/>
        </is>
      </c>
      <c r="F11" s="4" t="inlineStr">
        <is>
          <t xml:space="preserve">participants</t>
        </is>
      </c>
      <c r="G11" s="4" t="inlineStr">
        <is>
          <t xml:space="preserve">randomized</t>
        </is>
      </c>
      <c r="H11" s="4" t="inlineStr">
        <is>
          <t xml:space="preserve">Observed endpoint counts and full randomized ITT with imputation are distinct</t>
        </is>
      </c>
    </row>
    <row r="12" ht="34" customHeight="1">
      <c r="A12" s="4" t="inlineStr">
        <is>
          <t xml:space="preserve">S18</t>
        </is>
      </c>
      <c r="B12" s="4" t="inlineStr">
        <is>
          <t xml:space="preserve">PHQ9_population</t>
        </is>
      </c>
      <c r="C12" s="4" t="inlineStr">
        <is>
          <t xml:space="preserve">XiaoE</t>
        </is>
      </c>
      <c r="D12" s="5">
        <v>45</v>
      </c>
      <c r="E12" s="4" t="inlineStr">
        <is>
          <t xml:space="preserve"/>
        </is>
      </c>
      <c r="F12" s="4" t="inlineStr">
        <is>
          <t xml:space="preserve">participants</t>
        </is>
      </c>
      <c r="G12" s="4" t="inlineStr">
        <is>
          <t xml:space="preserve">day7_observed</t>
        </is>
      </c>
      <c r="H12" s="4" t="inlineStr">
        <is>
          <t xml:space="preserve">Observed endpoint counts and full randomized ITT with imputation are distinct</t>
        </is>
      </c>
    </row>
    <row r="13" ht="34" customHeight="1">
      <c r="A13" s="4" t="inlineStr">
        <is>
          <t xml:space="preserve">S18</t>
        </is>
      </c>
      <c r="B13" s="4" t="inlineStr">
        <is>
          <t xml:space="preserve">PHQ9_population</t>
        </is>
      </c>
      <c r="C13" s="4" t="inlineStr">
        <is>
          <t xml:space="preserve">ebook</t>
        </is>
      </c>
      <c r="D13" s="5">
        <v>39</v>
      </c>
      <c r="E13" s="4" t="inlineStr">
        <is>
          <t xml:space="preserve"/>
        </is>
      </c>
      <c r="F13" s="4" t="inlineStr">
        <is>
          <t xml:space="preserve">participants</t>
        </is>
      </c>
      <c r="G13" s="4" t="inlineStr">
        <is>
          <t xml:space="preserve">day7_observed</t>
        </is>
      </c>
      <c r="H13" s="4" t="inlineStr">
        <is>
          <t xml:space="preserve">Observed endpoint counts and full randomized ITT with imputation are distinct</t>
        </is>
      </c>
    </row>
    <row r="14" ht="34" customHeight="1">
      <c r="A14" s="4" t="inlineStr">
        <is>
          <t xml:space="preserve">S18</t>
        </is>
      </c>
      <c r="B14" s="4" t="inlineStr">
        <is>
          <t xml:space="preserve">PHQ9_population</t>
        </is>
      </c>
      <c r="C14" s="4" t="inlineStr">
        <is>
          <t xml:space="preserve">Xiaoai</t>
        </is>
      </c>
      <c r="D14" s="5">
        <v>41</v>
      </c>
      <c r="E14" s="4" t="inlineStr">
        <is>
          <t xml:space="preserve"/>
        </is>
      </c>
      <c r="F14" s="4" t="inlineStr">
        <is>
          <t xml:space="preserve">participants</t>
        </is>
      </c>
      <c r="G14" s="4" t="inlineStr">
        <is>
          <t xml:space="preserve">day7_observed</t>
        </is>
      </c>
      <c r="H14" s="4" t="inlineStr">
        <is>
          <t xml:space="preserve">Observed endpoint counts and full randomized ITT with imputation are distinct</t>
        </is>
      </c>
    </row>
    <row r="15" ht="34" customHeight="1">
      <c r="A15" s="4" t="inlineStr">
        <is>
          <t xml:space="preserve">S18</t>
        </is>
      </c>
      <c r="B15" s="4" t="inlineStr">
        <is>
          <t xml:space="preserve">PHQ9_population</t>
        </is>
      </c>
      <c r="C15" s="4" t="inlineStr">
        <is>
          <t xml:space="preserve">XiaoE</t>
        </is>
      </c>
      <c r="D15" s="5">
        <v>44</v>
      </c>
      <c r="E15" s="4" t="inlineStr">
        <is>
          <t xml:space="preserve"/>
        </is>
      </c>
      <c r="F15" s="4" t="inlineStr">
        <is>
          <t xml:space="preserve">participants</t>
        </is>
      </c>
      <c r="G15" s="4" t="inlineStr">
        <is>
          <t xml:space="preserve">day30_observed</t>
        </is>
      </c>
      <c r="H15" s="4" t="inlineStr">
        <is>
          <t xml:space="preserve">Observed endpoint counts and full randomized ITT with imputation are distinct</t>
        </is>
      </c>
    </row>
    <row r="16" ht="34" customHeight="1">
      <c r="A16" s="4" t="inlineStr">
        <is>
          <t xml:space="preserve">S18</t>
        </is>
      </c>
      <c r="B16" s="4" t="inlineStr">
        <is>
          <t xml:space="preserve">PHQ9_population</t>
        </is>
      </c>
      <c r="C16" s="4" t="inlineStr">
        <is>
          <t xml:space="preserve">ebook</t>
        </is>
      </c>
      <c r="D16" s="5">
        <v>32</v>
      </c>
      <c r="E16" s="4" t="inlineStr">
        <is>
          <t xml:space="preserve"/>
        </is>
      </c>
      <c r="F16" s="4" t="inlineStr">
        <is>
          <t xml:space="preserve">participants</t>
        </is>
      </c>
      <c r="G16" s="4" t="inlineStr">
        <is>
          <t xml:space="preserve">day30_observed</t>
        </is>
      </c>
      <c r="H16" s="4" t="inlineStr">
        <is>
          <t xml:space="preserve">Observed endpoint counts and full randomized ITT with imputation are distinct</t>
        </is>
      </c>
    </row>
    <row r="17" ht="34" customHeight="1">
      <c r="A17" s="4" t="inlineStr">
        <is>
          <t xml:space="preserve">S18</t>
        </is>
      </c>
      <c r="B17" s="4" t="inlineStr">
        <is>
          <t xml:space="preserve">PHQ9_population</t>
        </is>
      </c>
      <c r="C17" s="4" t="inlineStr">
        <is>
          <t xml:space="preserve">Xiaoai</t>
        </is>
      </c>
      <c r="D17" s="5">
        <v>30</v>
      </c>
      <c r="E17" s="4" t="inlineStr">
        <is>
          <t xml:space="preserve"/>
        </is>
      </c>
      <c r="F17" s="4" t="inlineStr">
        <is>
          <t xml:space="preserve">participants</t>
        </is>
      </c>
      <c r="G17" s="4" t="inlineStr">
        <is>
          <t xml:space="preserve">day30_observed</t>
        </is>
      </c>
      <c r="H17" s="4" t="inlineStr">
        <is>
          <t xml:space="preserve">Observed endpoint counts and full randomized ITT with imputation are distinct</t>
        </is>
      </c>
    </row>
  </sheetData>
  <autoFilter ref="A4:H17"/>
  <mergeCells count="2">
    <mergeCell ref="A1:H1"/>
    <mergeCell ref="A2:H2"/>
  </mergeCells>
  <pageMargins left="0.3" right="0.3" top="0.5" bottom="0.5" header="0.2" footer="0.2"/>
</worksheet>
</file>

<file path=xl/worksheets/sheet7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sheetFormatPr defaultRowHeight="18"/>
  <cols>
    <col min="1" max="1" width="12" customWidth="1"/>
    <col min="2" max="2" width="12" customWidth="1"/>
    <col min="3" max="3" width="36" customWidth="1"/>
    <col min="4" max="4" width="42" customWidth="1"/>
    <col min="5" max="5" width="36" customWidth="1"/>
    <col min="6" max="6" width="42" customWidth="1"/>
    <col min="7" max="7" width="36" customWidth="1"/>
    <col min="8" max="8" width="36" customWidth="1"/>
    <col min="9" max="9" width="36" customWidth="1"/>
    <col min="10" max="10" width="36" customWidth="1"/>
  </cols>
  <sheetData>
    <row r="1" ht="30" customHeight="1">
      <c r="A1" s="1" t="inlineStr">
        <is>
          <t xml:space="preserve">Claim dispositions</t>
        </is>
      </c>
    </row>
    <row r="2" ht="34" customHeight="1">
      <c r="A2" s="2" t="inlineStr">
        <is>
          <t xml:space="preserve">Source: 01_data/claim_dispositions18.csv. Report-level evidence; source-access limits and analytic roles are retained.</t>
        </is>
      </c>
    </row>
    <row r="4" ht="44" customHeight="1">
      <c r="A4" s="3" t="inlineStr">
        <is>
          <t xml:space="preserve">assessment_id</t>
        </is>
      </c>
      <c r="B4" s="3" t="inlineStr">
        <is>
          <t xml:space="preserve">case_id</t>
        </is>
      </c>
      <c r="C4" s="3" t="inlineStr">
        <is>
          <t xml:space="preserve">report_id</t>
        </is>
      </c>
      <c r="D4" s="3" t="inlineStr">
        <is>
          <t xml:space="preserve">claim</t>
        </is>
      </c>
      <c r="E4" s="3" t="inlineStr">
        <is>
          <t xml:space="preserve">disposition</t>
        </is>
      </c>
      <c r="F4" s="3" t="inlineStr">
        <is>
          <t xml:space="preserve">rationale</t>
        </is>
      </c>
      <c r="G4" s="3" t="inlineStr">
        <is>
          <t xml:space="preserve">source_url</t>
        </is>
      </c>
      <c r="H4" s="3" t="inlineStr">
        <is>
          <t xml:space="preserve">source_locator</t>
        </is>
      </c>
      <c r="I4" s="3" t="inlineStr">
        <is>
          <t xml:space="preserve">access_level</t>
        </is>
      </c>
      <c r="J4" s="3" t="inlineStr">
        <is>
          <t xml:space="preserve">assessor</t>
        </is>
      </c>
    </row>
    <row r="5" ht="47" customHeight="1">
      <c r="A5" s="4" t="inlineStr">
        <is>
          <t xml:space="preserve">CE01A</t>
        </is>
      </c>
      <c r="B5" s="4" t="inlineStr">
        <is>
          <t xml:space="preserve">CE01</t>
        </is>
      </c>
      <c r="C5" s="4" t="inlineStr">
        <is>
          <t xml:space="preserve">S05</t>
        </is>
      </c>
      <c r="D5" s="4" t="inlineStr">
        <is>
          <t xml:space="preserve">The curated-answer comparison met its prespecified overall information-satisfaction noninferiority criterion.</t>
        </is>
      </c>
      <c r="E5" s="4" t="inlineStr">
        <is>
          <t xml:space="preserve">Supported within tested conditions</t>
        </is>
      </c>
      <c r="F5" s="4" t="inlineStr">
        <is>
          <t xml:space="preserve">142 participants; 69% versus 64%; 10% margin; fixed prechecked information, not autonomous dialogue.</t>
        </is>
      </c>
      <c r="G5" s="4" t="inlineStr">
        <is>
          <t xml:space="preserve">https://www.jmir.org/2019/11/e15787/</t>
        </is>
      </c>
      <c r="H5" s="4" t="inlineStr">
        <is>
          <t xml:space="preserve">Methods: procedures/outcomes; no actual conversation per question</t>
        </is>
      </c>
      <c r="I5" s="4" t="inlineStr">
        <is>
          <t xml:space="preserve">Primary full text; targeted endpoint check</t>
        </is>
      </c>
      <c r="J5" s="4" t="inlineStr">
        <is>
          <t xml:space="preserve">Single analytical workflow; no independent reliability claim</t>
        </is>
      </c>
    </row>
    <row r="6" ht="47" customHeight="1">
      <c r="A6" s="4" t="inlineStr">
        <is>
          <t xml:space="preserve">CE01B</t>
        </is>
      </c>
      <c r="B6" s="4" t="inlineStr">
        <is>
          <t xml:space="preserve">CE01</t>
        </is>
      </c>
      <c r="C6" s="4" t="inlineStr">
        <is>
          <t xml:space="preserve">S05</t>
        </is>
      </c>
      <c r="D6" s="4" t="inlineStr">
        <is>
          <t xml:space="preserve">The same evidence establishes safety of unrestricted autonomous oncology advice.</t>
        </is>
      </c>
      <c r="E6" s="4" t="inlineStr">
        <is>
          <t xml:space="preserve">Not established</t>
        </is>
      </c>
      <c r="F6" s="4" t="inlineStr">
        <is>
          <t xml:space="preserve">Information satisfaction does not identify autonomous conversational safety.</t>
        </is>
      </c>
      <c r="G6" s="4" t="inlineStr">
        <is>
          <t xml:space="preserve">https://www.jmir.org/2019/11/e15787/</t>
        </is>
      </c>
      <c r="H6" s="4" t="inlineStr">
        <is>
          <t xml:space="preserve">Methods: procedures/outcomes; no actual conversation per question</t>
        </is>
      </c>
      <c r="I6" s="4" t="inlineStr">
        <is>
          <t xml:space="preserve">Primary full text; targeted endpoint check</t>
        </is>
      </c>
      <c r="J6" s="4" t="inlineStr">
        <is>
          <t xml:space="preserve">Single analytical workflow; no independent reliability claim</t>
        </is>
      </c>
    </row>
    <row r="7" ht="47" customHeight="1">
      <c r="A7" s="4" t="inlineStr">
        <is>
          <t xml:space="preserve">CE02A</t>
        </is>
      </c>
      <c r="B7" s="4" t="inlineStr">
        <is>
          <t xml:space="preserve">CE02</t>
        </is>
      </c>
      <c r="C7" s="4" t="inlineStr">
        <is>
          <t xml:space="preserve">S04</t>
        </is>
      </c>
      <c r="D7" s="4" t="inlineStr">
        <is>
          <t xml:space="preserve">The experiment provides evidence about intended self-referral under the studied interaction conditions.</t>
        </is>
      </c>
      <c r="E7" s="4" t="inlineStr">
        <is>
          <t xml:space="preserve">Supported with qualifications</t>
        </is>
      </c>
      <c r="F7" s="4" t="inlineStr">
        <is>
          <t xml:space="preserve">An intention proxy in 160 participants; not completed clinical behaviour.</t>
        </is>
      </c>
      <c r="G7" s="4" t="inlineStr">
        <is>
          <t xml:space="preserve">https://link.springer.com/article/10.1186/s12911-019-0796-x</t>
        </is>
      </c>
      <c r="H7" s="4" t="inlineStr">
        <is>
          <t xml:space="preserve">Abstract; Experimental method; dependent measures</t>
        </is>
      </c>
      <c r="I7" s="4" t="inlineStr">
        <is>
          <t xml:space="preserve">Primary full text; targeted endpoint check</t>
        </is>
      </c>
      <c r="J7" s="4" t="inlineStr">
        <is>
          <t xml:space="preserve">Single analytical workflow; no independent reliability claim</t>
        </is>
      </c>
    </row>
    <row r="8" ht="47" customHeight="1">
      <c r="A8" s="4" t="inlineStr">
        <is>
          <t xml:space="preserve">CE02B</t>
        </is>
      </c>
      <c r="B8" s="4" t="inlineStr">
        <is>
          <t xml:space="preserve">CE02</t>
        </is>
      </c>
      <c r="C8" s="4" t="inlineStr">
        <is>
          <t xml:space="preserve">S04</t>
        </is>
      </c>
      <c r="D8" s="4" t="inlineStr">
        <is>
          <t xml:space="preserve">The source establishes effective real-world crisis handoff.</t>
        </is>
      </c>
      <c r="E8" s="4" t="inlineStr">
        <is>
          <t xml:space="preserve">Not established</t>
        </is>
      </c>
      <c r="F8" s="4" t="inlineStr">
        <is>
          <t xml:space="preserve">Completed referral and downstream safety were not verified by the intention endpoint.</t>
        </is>
      </c>
      <c r="G8" s="4" t="inlineStr">
        <is>
          <t xml:space="preserve">https://link.springer.com/article/10.1186/s12911-019-0796-x</t>
        </is>
      </c>
      <c r="H8" s="4" t="inlineStr">
        <is>
          <t xml:space="preserve">Abstract; Experimental method; dependent measures</t>
        </is>
      </c>
      <c r="I8" s="4" t="inlineStr">
        <is>
          <t xml:space="preserve">Primary full text; targeted endpoint check</t>
        </is>
      </c>
      <c r="J8" s="4" t="inlineStr">
        <is>
          <t xml:space="preserve">Single analytical workflow; no independent reliability claim</t>
        </is>
      </c>
    </row>
    <row r="9" ht="47" customHeight="1">
      <c r="A9" s="4" t="inlineStr">
        <is>
          <t xml:space="preserve">CE03A</t>
        </is>
      </c>
      <c r="B9" s="4" t="inlineStr">
        <is>
          <t xml:space="preserve">CE03</t>
        </is>
      </c>
      <c r="C9" s="4" t="inlineStr">
        <is>
          <t xml:space="preserve">S21</t>
        </is>
      </c>
      <c r="D9" s="4" t="inlineStr">
        <is>
          <t xml:space="preserve">ChatPal generated engagement and feedback data alongside inconclusive well-being changes.</t>
        </is>
      </c>
      <c r="E9" s="4" t="inlineStr">
        <is>
          <t xml:space="preserve">Supported with qualifications</t>
        </is>
      </c>
      <c r="F9" s="4" t="inlineStr">
        <is>
          <t xml:space="preserve">Uncontrolled study with severe, instrument-specific attrition.</t>
        </is>
      </c>
      <c r="G9" s="4" t="inlineStr">
        <is>
          <t xml:space="preserve">https://www.jmir.org/2023/1/e43051/</t>
        </is>
      </c>
      <c r="H9" s="4" t="inlineStr">
        <is>
          <t xml:space="preserve">Results: Tables 2–4; User Feedback; Limitations</t>
        </is>
      </c>
      <c r="I9" s="4" t="inlineStr">
        <is>
          <t xml:space="preserve">Primary full text; targeted endpoint check</t>
        </is>
      </c>
      <c r="J9" s="4" t="inlineStr">
        <is>
          <t xml:space="preserve">Single analytical workflow; no independent reliability claim</t>
        </is>
      </c>
    </row>
    <row r="10" ht="47" customHeight="1">
      <c r="A10" s="4" t="inlineStr">
        <is>
          <t xml:space="preserve">CE03B</t>
        </is>
      </c>
      <c r="B10" s="4" t="inlineStr">
        <is>
          <t xml:space="preserve">CE03</t>
        </is>
      </c>
      <c r="C10" s="4" t="inlineStr">
        <is>
          <t xml:space="preserve">S21</t>
        </is>
      </c>
      <c r="D10" s="4" t="inlineStr">
        <is>
          <t xml:space="preserve">Provider-cost consequences of ChatPal have been evaluated in this claim ledger.</t>
        </is>
      </c>
      <c r="E10" s="4" t="inlineStr">
        <is>
          <t xml:space="preserve">Not assessed</t>
        </is>
      </c>
      <c r="F10" s="4" t="inlineStr">
        <is>
          <t xml:space="preserve">No provider-cost extraction is available for this case; no favorable or unfavorable economic conclusion is assigned.</t>
        </is>
      </c>
      <c r="G10" s="4" t="inlineStr">
        <is>
          <t xml:space="preserve">https://www.jmir.org/2023/1/e43051/</t>
        </is>
      </c>
      <c r="H10" s="4" t="inlineStr">
        <is>
          <t xml:space="preserve">Results: Tables 2–4; User Feedback; Limitations</t>
        </is>
      </c>
      <c r="I10" s="4" t="inlineStr">
        <is>
          <t xml:space="preserve">Primary full text; targeted endpoint check</t>
        </is>
      </c>
      <c r="J10" s="4" t="inlineStr">
        <is>
          <t xml:space="preserve">Single analytical workflow; no independent reliability claim</t>
        </is>
      </c>
    </row>
    <row r="11" ht="60" customHeight="1">
      <c r="A11" s="4" t="inlineStr">
        <is>
          <t xml:space="preserve">CE04A</t>
        </is>
      </c>
      <c r="B11" s="4" t="inlineStr">
        <is>
          <t xml:space="preserve">CE04</t>
        </is>
      </c>
      <c r="C11" s="4" t="inlineStr">
        <is>
          <t xml:space="preserve">S11</t>
        </is>
      </c>
      <c r="D11" s="4" t="inlineStr">
        <is>
          <t xml:space="preserve">Digital screening had lower observed clearance and queue times in the reported implementation comparison.</t>
        </is>
      </c>
      <c r="E11" s="4" t="inlineStr">
        <is>
          <t xml:space="preserve">Supported with qualifications</t>
        </is>
      </c>
      <c r="F11" s="4" t="inlineStr">
        <is>
          <t xml:space="preserve">48 versus 8 seconds (n = 28/20); queue 500 versus 100 seconds; nonrandomized small timing samples.</t>
        </is>
      </c>
      <c r="G11" s="4" t="inlineStr">
        <is>
          <t xml:space="preserve">https://pmc.ncbi.nlm.nih.gov/articles/PMC7313990/</t>
        </is>
      </c>
      <c r="H11" s="4" t="inlineStr">
        <is>
          <t xml:space="preserve">Results: Impact on Operations; limitations</t>
        </is>
      </c>
      <c r="I11" s="4" t="inlineStr">
        <is>
          <t xml:space="preserve">Primary full text rechecked 23 October 2026; observed, extrapolated and asserted outcomes distinguished</t>
        </is>
      </c>
      <c r="J11" s="4" t="inlineStr">
        <is>
          <t xml:space="preserve">Single analytical workflow; no independent reliability claim</t>
        </is>
      </c>
    </row>
    <row r="12" ht="60" customHeight="1">
      <c r="A12" s="4" t="inlineStr">
        <is>
          <t xml:space="preserve">CE04B</t>
        </is>
      </c>
      <c r="B12" s="4" t="inlineStr">
        <is>
          <t xml:space="preserve">CE04</t>
        </is>
      </c>
      <c r="C12" s="4" t="inlineStr">
        <is>
          <t xml:space="preserve">S11</t>
        </is>
      </c>
      <c r="D12" s="4" t="inlineStr">
        <is>
          <t xml:space="preserve">These timings establish net cost-effectiveness across health systems.</t>
        </is>
      </c>
      <c r="E12" s="4" t="inlineStr">
        <is>
          <t xml:space="preserve">Not established</t>
        </is>
      </c>
      <c r="F12" s="4" t="inlineStr">
        <is>
          <t xml:space="preserve">Time savings are real observed endpoints; comprehensive net costs and a transportable counterfactual are not supplied.</t>
        </is>
      </c>
      <c r="G12" s="4" t="inlineStr">
        <is>
          <t xml:space="preserve">https://pmc.ncbi.nlm.nih.gov/articles/PMC7313990/</t>
        </is>
      </c>
      <c r="H12" s="4" t="inlineStr">
        <is>
          <t xml:space="preserve">Results: Impact on Operations; limitations</t>
        </is>
      </c>
      <c r="I12" s="4" t="inlineStr">
        <is>
          <t xml:space="preserve">Primary full text rechecked 23 October 2026; observed, extrapolated and asserted outcomes distinguished</t>
        </is>
      </c>
      <c r="J12" s="4" t="inlineStr">
        <is>
          <t xml:space="preserve">Single analytical workflow; no independent reliability claim</t>
        </is>
      </c>
    </row>
    <row r="13" ht="47" customHeight="1">
      <c r="A13" s="4" t="inlineStr">
        <is>
          <t xml:space="preserve">CE05A</t>
        </is>
      </c>
      <c r="B13" s="4" t="inlineStr">
        <is>
          <t xml:space="preserve">CE05</t>
        </is>
      </c>
      <c r="C13" s="4" t="inlineStr">
        <is>
          <t xml:space="preserve">S24</t>
        </is>
      </c>
      <c r="D13" s="4" t="inlineStr">
        <is>
          <t xml:space="preserve">The BalanceUP trial provides patient-level mental-health and productivity outcome evidence.</t>
        </is>
      </c>
      <c r="E13" s="4" t="inlineStr">
        <is>
          <t xml:space="preserve">Supported with qualifications</t>
        </is>
      </c>
      <c r="F13" s="4" t="inlineStr">
        <is>
          <t xml:space="preserve">Separate PHQ-ADS and MIDAS denominators; comparator and attrition constrain transfer.</t>
        </is>
      </c>
      <c r="G13" s="4" t="inlineStr">
        <is>
          <t xml:space="preserve">https://www.jmir.org/2024/1/e50132/</t>
        </is>
      </c>
      <c r="H13" s="4" t="inlineStr">
        <is>
          <t xml:space="preserve">Table 3; Methods: MIDAS; Secondary Outcomes</t>
        </is>
      </c>
      <c r="I13" s="4" t="inlineStr">
        <is>
          <t xml:space="preserve">Primary full text; targeted endpoint check</t>
        </is>
      </c>
      <c r="J13" s="4" t="inlineStr">
        <is>
          <t xml:space="preserve">Single analytical workflow; no independent reliability claim</t>
        </is>
      </c>
    </row>
    <row r="14" ht="47" customHeight="1">
      <c r="A14" s="4" t="inlineStr">
        <is>
          <t xml:space="preserve">CE05B</t>
        </is>
      </c>
      <c r="B14" s="4" t="inlineStr">
        <is>
          <t xml:space="preserve">CE05</t>
        </is>
      </c>
      <c r="C14" s="4" t="inlineStr">
        <is>
          <t xml:space="preserve">S24</t>
        </is>
      </c>
      <c r="D14" s="4" t="inlineStr">
        <is>
          <t xml:space="preserve">The provider can reduce clinical staffing because participant MIDAS scores improved.</t>
        </is>
      </c>
      <c r="E14" s="4" t="inlineStr">
        <is>
          <t xml:space="preserve">Not established</t>
        </is>
      </c>
      <c r="F14" s="4" t="inlineStr">
        <is>
          <t xml:space="preserve">Patient absenteeism/presenteeism and provider workload have different analytical units.</t>
        </is>
      </c>
      <c r="G14" s="4" t="inlineStr">
        <is>
          <t xml:space="preserve">https://www.jmir.org/2024/1/e50132/</t>
        </is>
      </c>
      <c r="H14" s="4" t="inlineStr">
        <is>
          <t xml:space="preserve">Table 3; Methods: MIDAS; Secondary Outcomes</t>
        </is>
      </c>
      <c r="I14" s="4" t="inlineStr">
        <is>
          <t xml:space="preserve">Primary full text; targeted endpoint check</t>
        </is>
      </c>
      <c r="J14" s="4" t="inlineStr">
        <is>
          <t xml:space="preserve">Single analytical workflow; no independent reliability claim</t>
        </is>
      </c>
    </row>
    <row r="15" ht="47" customHeight="1">
      <c r="A15" s="4" t="inlineStr">
        <is>
          <t xml:space="preserve">CE06A</t>
        </is>
      </c>
      <c r="B15" s="4" t="inlineStr">
        <is>
          <t xml:space="preserve">CE06</t>
        </is>
      </c>
      <c r="C15" s="4" t="inlineStr">
        <is>
          <t xml:space="preserve">U01</t>
        </is>
      </c>
      <c r="D15" s="4" t="inlineStr">
        <is>
          <t xml:space="preserve">The randomized messaging experiment estimates usage-intention responses in the tested population.</t>
        </is>
      </c>
      <c r="E15" s="4" t="inlineStr">
        <is>
          <t xml:space="preserve">Supported within tested conditions</t>
        </is>
      </c>
      <c r="F15" s="4" t="inlineStr">
        <is>
          <t xml:space="preserve">1000 adults; scenario-based descriptions and normative messages; not longitudinal adoption.</t>
        </is>
      </c>
      <c r="G15" s="4" t="inlineStr">
        <is>
          <t xml:space="preserve">https://www.jmir.org/2026/1/e97773/</t>
        </is>
      </c>
      <c r="H15" s="4" t="inlineStr">
        <is>
          <t xml:space="preserve">Abstract; Methods; usage-intention measures</t>
        </is>
      </c>
      <c r="I15" s="4" t="inlineStr">
        <is>
          <t xml:space="preserve">Primary full text; targeted current check</t>
        </is>
      </c>
      <c r="J15" s="4" t="inlineStr">
        <is>
          <t xml:space="preserve">Single analytical workflow; no independent reliability claim</t>
        </is>
      </c>
    </row>
    <row r="16" ht="34" customHeight="1">
      <c r="A16" s="4" t="inlineStr">
        <is>
          <t xml:space="preserve">CE06B</t>
        </is>
      </c>
      <c r="B16" s="4" t="inlineStr">
        <is>
          <t xml:space="preserve">CE06</t>
        </is>
      </c>
      <c r="C16" s="4" t="inlineStr">
        <is>
          <t xml:space="preserve">U01</t>
        </is>
      </c>
      <c r="D16" s="4" t="inlineStr">
        <is>
          <t xml:space="preserve">The study establishes sustained chatbot adoption and clinical benefit.</t>
        </is>
      </c>
      <c r="E16" s="4" t="inlineStr">
        <is>
          <t xml:space="preserve">Not established</t>
        </is>
      </c>
      <c r="F16" s="4" t="inlineStr">
        <is>
          <t xml:space="preserve">Intention endpoint does not measure observed sustained use or health outcomes.</t>
        </is>
      </c>
      <c r="G16" s="4" t="inlineStr">
        <is>
          <t xml:space="preserve">https://www.jmir.org/2026/1/e97773/</t>
        </is>
      </c>
      <c r="H16" s="4" t="inlineStr">
        <is>
          <t xml:space="preserve">Abstract; Methods; usage-intention measures</t>
        </is>
      </c>
      <c r="I16" s="4" t="inlineStr">
        <is>
          <t xml:space="preserve">Primary full text; targeted current check</t>
        </is>
      </c>
      <c r="J16" s="4" t="inlineStr">
        <is>
          <t xml:space="preserve">Single analytical workflow; no independent reliability claim</t>
        </is>
      </c>
    </row>
    <row r="17" ht="47" customHeight="1">
      <c r="A17" s="4" t="inlineStr">
        <is>
          <t xml:space="preserve">CE07A</t>
        </is>
      </c>
      <c r="B17" s="4" t="inlineStr">
        <is>
          <t xml:space="preserve">CE07</t>
        </is>
      </c>
      <c r="C17" s="4" t="inlineStr">
        <is>
          <t xml:space="preserve">U02</t>
        </is>
      </c>
      <c r="D17" s="4" t="inlineStr">
        <is>
          <t xml:space="preserve">The pilot demonstrates that the chatbot reduces unscheduled hospital visits.</t>
        </is>
      </c>
      <c r="E17" s="4" t="inlineStr">
        <is>
          <t xml:space="preserve">Not established</t>
        </is>
      </c>
      <c r="F17" s="4" t="inlineStr">
        <is>
          <t xml:space="preserve">3/20 versus 7/20; P = .24; an imprecise comparison is not evidence of no effect or proof of benefit.</t>
        </is>
      </c>
      <c r="G17" s="4" t="inlineStr">
        <is>
          <t xml:space="preserve">https://formative.jmir.org/2026/1/e86149/</t>
        </is>
      </c>
      <c r="H17" s="4" t="inlineStr">
        <is>
          <t xml:space="preserve">Abstract; Unscheduled hospital visits: 3/20 vs 7/20, P = .24</t>
        </is>
      </c>
      <c r="I17" s="4" t="inlineStr">
        <is>
          <t xml:space="preserve">Primary full text; targeted current check</t>
        </is>
      </c>
      <c r="J17" s="4" t="inlineStr">
        <is>
          <t xml:space="preserve">Single analytical workflow; no independent reliability claim</t>
        </is>
      </c>
    </row>
    <row r="18" ht="47" customHeight="1">
      <c r="A18" s="4" t="inlineStr">
        <is>
          <t xml:space="preserve">CE07B</t>
        </is>
      </c>
      <c r="B18" s="4" t="inlineStr">
        <is>
          <t xml:space="preserve">CE07</t>
        </is>
      </c>
      <c r="C18" s="4" t="inlineStr">
        <is>
          <t xml:space="preserve">U02</t>
        </is>
      </c>
      <c r="D18" s="4" t="inlineStr">
        <is>
          <t xml:space="preserve">The report supports a bounded feasibility assessment of the supportive oncology platform.</t>
        </is>
      </c>
      <c r="E18" s="4" t="inlineStr">
        <is>
          <t xml:space="preserve">Supported with qualifications</t>
        </is>
      </c>
      <c r="F18" s="4" t="inlineStr">
        <is>
          <t xml:space="preserve">40 patients; 12-week pilot; activity and response data; larger outcome evaluation required.</t>
        </is>
      </c>
      <c r="G18" s="4" t="inlineStr">
        <is>
          <t xml:space="preserve">https://formative.jmir.org/2026/1/e86149/</t>
        </is>
      </c>
      <c r="H18" s="4" t="inlineStr">
        <is>
          <t xml:space="preserve">Abstract; Unscheduled hospital visits: 3/20 vs 7/20, P = .24</t>
        </is>
      </c>
      <c r="I18" s="4" t="inlineStr">
        <is>
          <t xml:space="preserve">Primary full text; targeted current check</t>
        </is>
      </c>
      <c r="J18" s="4" t="inlineStr">
        <is>
          <t xml:space="preserve">Single analytical workflow; no independent reliability claim</t>
        </is>
      </c>
    </row>
    <row r="19" ht="47" customHeight="1">
      <c r="A19" s="4" t="inlineStr">
        <is>
          <t xml:space="preserve">CE08A</t>
        </is>
      </c>
      <c r="B19" s="4" t="inlineStr">
        <is>
          <t xml:space="preserve">CE08</t>
        </is>
      </c>
      <c r="C19" s="4" t="inlineStr">
        <is>
          <t xml:space="preserve">U03</t>
        </is>
      </c>
      <c r="D19" s="4" t="inlineStr">
        <is>
          <t xml:space="preserve">Therabot improved reported symptoms relative to waitlist in the trial described by the primary abstract.</t>
        </is>
      </c>
      <c r="E19" s="4" t="inlineStr">
        <is>
          <t xml:space="preserve">Supported with qualifications</t>
        </is>
      </c>
      <c r="F19" s="4" t="inlineStr">
        <is>
          <t xml:space="preserve">210 participants; 4/8 weeks; abstract-only verification here, no complete full-text re-extraction.</t>
        </is>
      </c>
      <c r="G19" s="4" t="inlineStr">
        <is>
          <t xml:space="preserve">https://www.nicholasjacobson.com/publication/heinz-mackin-trudeau-bhattacharya-wang-et-al-2025/</t>
        </is>
      </c>
      <c r="H19" s="4" t="inlineStr">
        <is>
          <t xml:space="preserve">Primary-author-hosted abstract: Methods and Results</t>
        </is>
      </c>
      <c r="I19" s="4" t="inlineStr">
        <is>
          <t xml:space="preserve">Publication abstract reproduced on senior author website; publisher full text inaccessible</t>
        </is>
      </c>
      <c r="J19" s="4" t="inlineStr">
        <is>
          <t xml:space="preserve">Single analytical workflow; no independent reliability claim</t>
        </is>
      </c>
    </row>
    <row r="20" ht="47" customHeight="1">
      <c r="A20" s="4" t="inlineStr">
        <is>
          <t xml:space="preserve">CE08B</t>
        </is>
      </c>
      <c r="B20" s="4" t="inlineStr">
        <is>
          <t xml:space="preserve">CE08</t>
        </is>
      </c>
      <c r="C20" s="4" t="inlineStr">
        <is>
          <t xml:space="preserve">U03</t>
        </is>
      </c>
      <c r="D20" s="4" t="inlineStr">
        <is>
          <t xml:space="preserve">Its comparative effectiveness against clinician-delivered treatment was assessed here.</t>
        </is>
      </c>
      <c r="E20" s="4" t="inlineStr">
        <is>
          <t xml:space="preserve">Not assessed</t>
        </is>
      </c>
      <c r="F20" s="4" t="inlineStr">
        <is>
          <t xml:space="preserve">No active clinician comparator in this source; this claim is outside the evaluated comparison.</t>
        </is>
      </c>
      <c r="G20" s="4" t="inlineStr">
        <is>
          <t xml:space="preserve">https://www.nicholasjacobson.com/publication/heinz-mackin-trudeau-bhattacharya-wang-et-al-2025/</t>
        </is>
      </c>
      <c r="H20" s="4" t="inlineStr">
        <is>
          <t xml:space="preserve">Primary-author-hosted abstract: Methods and Results</t>
        </is>
      </c>
      <c r="I20" s="4" t="inlineStr">
        <is>
          <t xml:space="preserve">Publication abstract reproduced on senior author website; publisher full text inaccessible</t>
        </is>
      </c>
      <c r="J20" s="4" t="inlineStr">
        <is>
          <t xml:space="preserve">Single analytical workflow; no independent reliability claim</t>
        </is>
      </c>
    </row>
    <row r="21" ht="60" customHeight="1">
      <c r="A21" s="4" t="inlineStr">
        <is>
          <t xml:space="preserve">CE09A</t>
        </is>
      </c>
      <c r="B21" s="4" t="inlineStr">
        <is>
          <t xml:space="preserve">CE09</t>
        </is>
      </c>
      <c r="C21" s="4" t="inlineStr">
        <is>
          <t xml:space="preserve">U04</t>
        </is>
      </c>
      <c r="D21" s="4" t="inlineStr">
        <is>
          <t xml:space="preserve">The three-arm trial provides outcome-specific clinical comparisons, including anxiety benefit against both comparators.</t>
        </is>
      </c>
      <c r="E21" s="4" t="inlineStr">
        <is>
          <t xml:space="preserve">Supported with qualifications</t>
        </is>
      </c>
      <c r="F21" s="4" t="inlineStr">
        <is>
          <t xml:space="preserve">995 students; no PTSD difference; transfer beyond tested population not established.</t>
        </is>
      </c>
      <c r="G21" s="4" t="inlineStr">
        <is>
          <t xml:space="preserve">https://jamanetwork.com/journals/jamanetworkopen/fullarticle/2847751</t>
        </is>
      </c>
      <c r="H21" s="4" t="inlineStr">
        <is>
          <t xml:space="preserve">Abstract; Results; structural equation associations</t>
        </is>
      </c>
      <c r="I21" s="4" t="inlineStr">
        <is>
          <t xml:space="preserve">Primary full text; targeted current check</t>
        </is>
      </c>
      <c r="J21" s="4" t="inlineStr">
        <is>
          <t xml:space="preserve">Single analytical workflow; no independent reliability claim</t>
        </is>
      </c>
    </row>
    <row r="22" ht="47" customHeight="1">
      <c r="A22" s="4" t="inlineStr">
        <is>
          <t xml:space="preserve">CE09B</t>
        </is>
      </c>
      <c r="B22" s="4" t="inlineStr">
        <is>
          <t xml:space="preserve">CE09</t>
        </is>
      </c>
      <c r="C22" s="4" t="inlineStr">
        <is>
          <t xml:space="preserve">U04</t>
        </is>
      </c>
      <c r="D22" s="4" t="inlineStr">
        <is>
          <t xml:space="preserve">Treatment randomization establishes a causal mediating effect of therapeutic alliance.</t>
        </is>
      </c>
      <c r="E22" s="4" t="inlineStr">
        <is>
          <t xml:space="preserve">Not established</t>
        </is>
      </c>
      <c r="F22" s="4" t="inlineStr">
        <is>
          <t xml:space="preserve">Treatment allocation does not randomize the mediator; identification assumptions require separate justification.</t>
        </is>
      </c>
      <c r="G22" s="4" t="inlineStr">
        <is>
          <t xml:space="preserve">https://jamanetwork.com/journals/jamanetworkopen/fullarticle/2847751</t>
        </is>
      </c>
      <c r="H22" s="4" t="inlineStr">
        <is>
          <t xml:space="preserve">Abstract; Results; structural equation associations</t>
        </is>
      </c>
      <c r="I22" s="4" t="inlineStr">
        <is>
          <t xml:space="preserve">Primary full text; targeted current check</t>
        </is>
      </c>
      <c r="J22" s="4" t="inlineStr">
        <is>
          <t xml:space="preserve">Single analytical workflow; no independent reliability claim</t>
        </is>
      </c>
    </row>
  </sheetData>
  <autoFilter ref="A4:J22"/>
  <mergeCells count="2">
    <mergeCell ref="A1:J1"/>
    <mergeCell ref="A2:J2"/>
  </mergeCells>
  <pageMargins left="0.3" right="0.3" top="0.5" bottom="0.5" header="0.2" footer="0.2"/>
</worksheet>
</file>

<file path=xl/worksheets/sheet8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sheetFormatPr defaultRowHeight="18"/>
  <cols>
    <col min="1" max="1" width="12" customWidth="1"/>
    <col min="2" max="2" width="36" customWidth="1"/>
    <col min="3" max="3" width="36" customWidth="1"/>
    <col min="4" max="4" width="36" customWidth="1"/>
    <col min="5" max="5" width="36" customWidth="1"/>
    <col min="6" max="6" width="42" customWidth="1"/>
    <col min="7" max="7" width="36" customWidth="1"/>
    <col min="8" max="8" width="36" customWidth="1"/>
    <col min="9" max="9" width="42" customWidth="1"/>
    <col min="10" max="10" width="36" customWidth="1"/>
    <col min="11" max="11" width="36" customWidth="1"/>
    <col min="12" max="12" width="36" customWidth="1"/>
    <col min="13" max="13" width="36" customWidth="1"/>
    <col min="14" max="14" width="42" customWidth="1"/>
    <col min="15" max="15" width="36" customWidth="1"/>
    <col min="16" max="16" width="42" customWidth="1"/>
    <col min="17" max="17" width="36" customWidth="1"/>
    <col min="18" max="18" width="42" customWidth="1"/>
    <col min="19" max="19" width="36" customWidth="1"/>
    <col min="20" max="20" width="36" customWidth="1"/>
  </cols>
  <sheetData>
    <row r="1" ht="30" customHeight="1">
      <c r="A1" s="1" t="inlineStr">
        <is>
          <t xml:space="preserve">Worked cases</t>
        </is>
      </c>
    </row>
    <row r="2" ht="34" customHeight="1">
      <c r="A2" s="2" t="inlineStr">
        <is>
          <t xml:space="preserve">Source: 01_data/claim_evidence_ledger9.csv. Report-level evidence; source-access limits and analytic roles are retained.</t>
        </is>
      </c>
    </row>
    <row r="4" ht="44" customHeight="1">
      <c r="A4" s="3" t="inlineStr">
        <is>
          <t xml:space="preserve">case_id</t>
        </is>
      </c>
      <c r="B4" s="3" t="inlineStr">
        <is>
          <t xml:space="preserve">report_id</t>
        </is>
      </c>
      <c r="C4" s="3" t="inlineStr">
        <is>
          <t xml:space="preserve">citation</t>
        </is>
      </c>
      <c r="D4" s="3" t="inlineStr">
        <is>
          <t xml:space="preserve">doi</t>
        </is>
      </c>
      <c r="E4" s="3" t="inlineStr">
        <is>
          <t xml:space="preserve">observed_endpoint</t>
        </is>
      </c>
      <c r="F4" s="3" t="inlineStr">
        <is>
          <t xml:space="preserve">unit_population</t>
        </is>
      </c>
      <c r="G4" s="3" t="inlineStr">
        <is>
          <t xml:space="preserve">comparator</t>
        </is>
      </c>
      <c r="H4" s="3" t="inlineStr">
        <is>
          <t xml:space="preserve">supported_inference</t>
        </is>
      </c>
      <c r="I4" s="3" t="inlineStr">
        <is>
          <t xml:space="preserve">illustrative_stronger_claim</t>
        </is>
      </c>
      <c r="J4" s="3" t="inlineStr">
        <is>
          <t xml:space="preserve">failed_or_unresolved_checks</t>
        </is>
      </c>
      <c r="K4" s="3" t="inlineStr">
        <is>
          <t xml:space="preserve">additional_evidence_required</t>
        </is>
      </c>
      <c r="L4" s="3" t="inlineStr">
        <is>
          <t xml:space="preserve">source_locator</t>
        </is>
      </c>
      <c r="M4" s="3" t="inlineStr">
        <is>
          <t xml:space="preserve">source_url</t>
        </is>
      </c>
      <c r="N4" s="3" t="inlineStr">
        <is>
          <t xml:space="preserve">verification_level</t>
        </is>
      </c>
      <c r="O4" s="3" t="inlineStr">
        <is>
          <t xml:space="preserve">interpretive_status</t>
        </is>
      </c>
      <c r="P4" s="3" t="inlineStr">
        <is>
          <t xml:space="preserve">primary_claim</t>
        </is>
      </c>
      <c r="Q4" s="3" t="inlineStr">
        <is>
          <t xml:space="preserve">primary_disposition</t>
        </is>
      </c>
      <c r="R4" s="3" t="inlineStr">
        <is>
          <t xml:space="preserve">secondary_claim</t>
        </is>
      </c>
      <c r="S4" s="3" t="inlineStr">
        <is>
          <t xml:space="preserve">secondary_disposition</t>
        </is>
      </c>
      <c r="T4" s="3" t="inlineStr">
        <is>
          <t xml:space="preserve">assessment_ids</t>
        </is>
      </c>
    </row>
    <row r="5" ht="60" customHeight="1">
      <c r="A5" s="4" t="inlineStr">
        <is>
          <t xml:space="preserve">CE01</t>
        </is>
      </c>
      <c r="B5" s="4" t="inlineStr">
        <is>
          <t xml:space="preserve">S05</t>
        </is>
      </c>
      <c r="C5" s="4" t="inlineStr">
        <is>
          <t xml:space="preserve">Bibault et al. (2019)</t>
        </is>
      </c>
      <c r="D5" s="4" t="inlineStr">
        <is>
          <t xml:space="preserve">10.2196/15787</t>
        </is>
      </c>
      <c r="E5" s="4" t="inlineStr">
        <is>
          <t xml:space="preserve">Information satisfaction for predefined, prechecked answers</t>
        </is>
      </c>
      <c r="F5" s="4" t="inlineStr">
        <is>
          <t xml:space="preserve">142 patients; two randomized groups</t>
        </is>
      </c>
      <c r="G5" s="4" t="inlineStr">
        <is>
          <t xml:space="preserve">Physician-generated answers</t>
        </is>
      </c>
      <c r="H5" s="4" t="inlineStr">
        <is>
          <t xml:space="preserve">A bounded information-satisfaction comparison</t>
        </is>
      </c>
      <c r="I5" s="4" t="inlineStr">
        <is>
          <t xml:space="preserve">The chatbot provides generally safe autonomous cancer advice</t>
        </is>
      </c>
      <c r="J5" s="4" t="inlineStr">
        <is>
          <t xml:space="preserve">Construct; transferability</t>
        </is>
      </c>
      <c r="K5" s="4" t="inlineStr">
        <is>
          <t xml:space="preserve">Direct safety/accuracy outcomes and evaluation of actual open-ended deployment</t>
        </is>
      </c>
      <c r="L5" s="4" t="inlineStr">
        <is>
          <t xml:space="preserve">Methods: procedures/outcomes; no actual conversation per question</t>
        </is>
      </c>
      <c r="M5" s="4" t="inlineStr">
        <is>
          <t xml:space="preserve">https://www.jmir.org/2019/11/e15787/</t>
        </is>
      </c>
      <c r="N5" s="4" t="inlineStr">
        <is>
          <t xml:space="preserve">Primary full text; targeted endpoint check</t>
        </is>
      </c>
      <c r="O5" s="4" t="inlineStr">
        <is>
          <t xml:space="preserve">Analyst-proposed worked example; stronger claim is not a quotation or allegation about source authors.</t>
        </is>
      </c>
      <c r="P5" s="4" t="inlineStr">
        <is>
          <t xml:space="preserve">The curated-answer comparison met its prespecified overall information-satisfaction noninferiority criterion.</t>
        </is>
      </c>
      <c r="Q5" s="4" t="inlineStr">
        <is>
          <t xml:space="preserve">Supported within tested conditions</t>
        </is>
      </c>
      <c r="R5" s="4" t="inlineStr">
        <is>
          <t xml:space="preserve">The same evidence establishes safety of unrestricted autonomous oncology advice.</t>
        </is>
      </c>
      <c r="S5" s="4" t="inlineStr">
        <is>
          <t xml:space="preserve">Not established</t>
        </is>
      </c>
      <c r="T5" s="4" t="inlineStr">
        <is>
          <t xml:space="preserve">CE01A;CE01B</t>
        </is>
      </c>
    </row>
    <row r="6" ht="60" customHeight="1">
      <c r="A6" s="4" t="inlineStr">
        <is>
          <t xml:space="preserve">CE02</t>
        </is>
      </c>
      <c r="B6" s="4" t="inlineStr">
        <is>
          <t xml:space="preserve">S04</t>
        </is>
      </c>
      <c r="C6" s="4" t="inlineStr">
        <is>
          <t xml:space="preserve">Tielman et al. (2019)</t>
        </is>
      </c>
      <c r="D6" s="4" t="inlineStr">
        <is>
          <t xml:space="preserve">10.1186/s12911-019-0796-x</t>
        </is>
      </c>
      <c r="E6" s="4" t="inlineStr">
        <is>
          <t xml:space="preserve">Intended self-referral after scenario-based interaction</t>
        </is>
      </c>
      <c r="F6" s="4" t="inlineStr">
        <is>
          <t xml:space="preserve">160 online participants</t>
        </is>
      </c>
      <c r="G6" s="4" t="inlineStr">
        <is>
          <t xml:space="preserve">Virtual-agent strategies and scenarios</t>
        </is>
      </c>
      <c r="H6" s="4" t="inlineStr">
        <is>
          <t xml:space="preserve">Agent strategy affects referral intention in the experiment</t>
        </is>
      </c>
      <c r="I6" s="4" t="inlineStr">
        <is>
          <t xml:space="preserve">The system safely completes crisis referrals</t>
        </is>
      </c>
      <c r="J6" s="4" t="inlineStr">
        <is>
          <t xml:space="preserve">Construct; transferability; governance</t>
        </is>
      </c>
      <c r="K6" s="4" t="inlineStr">
        <is>
          <t xml:space="preserve">Observed handoff completion, time to access and adverse consequences in real care</t>
        </is>
      </c>
      <c r="L6" s="4" t="inlineStr">
        <is>
          <t xml:space="preserve">Abstract; Experimental method; dependent measures</t>
        </is>
      </c>
      <c r="M6" s="4" t="inlineStr">
        <is>
          <t xml:space="preserve">https://link.springer.com/article/10.1186/s12911-019-0796-x</t>
        </is>
      </c>
      <c r="N6" s="4" t="inlineStr">
        <is>
          <t xml:space="preserve">Primary full text; targeted endpoint check</t>
        </is>
      </c>
      <c r="O6" s="4" t="inlineStr">
        <is>
          <t xml:space="preserve">Analyst-proposed worked example; stronger claim is not a quotation or allegation about source authors.</t>
        </is>
      </c>
      <c r="P6" s="4" t="inlineStr">
        <is>
          <t xml:space="preserve">The experiment provides evidence about intended self-referral under the studied interaction conditions.</t>
        </is>
      </c>
      <c r="Q6" s="4" t="inlineStr">
        <is>
          <t xml:space="preserve">Supported with qualifications</t>
        </is>
      </c>
      <c r="R6" s="4" t="inlineStr">
        <is>
          <t xml:space="preserve">The source establishes effective real-world crisis handoff.</t>
        </is>
      </c>
      <c r="S6" s="4" t="inlineStr">
        <is>
          <t xml:space="preserve">Not established</t>
        </is>
      </c>
      <c r="T6" s="4" t="inlineStr">
        <is>
          <t xml:space="preserve">CE02A;CE02B</t>
        </is>
      </c>
    </row>
    <row r="7" ht="60" customHeight="1">
      <c r="A7" s="4" t="inlineStr">
        <is>
          <t xml:space="preserve">CE03</t>
        </is>
      </c>
      <c r="B7" s="4" t="inlineStr">
        <is>
          <t xml:space="preserve">S21</t>
        </is>
      </c>
      <c r="C7" s="4" t="inlineStr">
        <is>
          <t xml:space="preserve">Potts et al. (2023)</t>
        </is>
      </c>
      <c r="D7" s="4" t="inlineStr">
        <is>
          <t xml:space="preserve">10.2196/43051</t>
        </is>
      </c>
      <c r="E7" s="4" t="inlineStr">
        <is>
          <t xml:space="preserve">Well-being, engagement and user feedback</t>
        </is>
      </c>
      <c r="F7" s="4" t="inlineStr">
        <is>
          <t xml:space="preserve">348 recruited; SWEMWBS 275/37/19, WHO-5 270/34/16, SWLS 268/33/18 at baseline/mid/end</t>
        </is>
      </c>
      <c r="G7" s="4" t="inlineStr">
        <is>
          <t xml:space="preserve">No randomized concurrent comparator</t>
        </is>
      </c>
      <c r="H7" s="4" t="inlineStr">
        <is>
          <t xml:space="preserve">A feasibility/engagement account with inconclusive well-being change</t>
        </is>
      </c>
      <c r="I7" s="4" t="inlineStr">
        <is>
          <t xml:space="preserve">Deployment improves healthcare-organization performance</t>
        </is>
      </c>
      <c r="J7" s="4" t="inlineStr">
        <is>
          <t xml:space="preserve">Unit; attribution</t>
        </is>
      </c>
      <c r="K7" s="4" t="inlineStr">
        <is>
          <t xml:space="preserve">Direct organizational workload/cost measures and suitable comparison</t>
        </is>
      </c>
      <c r="L7" s="4" t="inlineStr">
        <is>
          <t xml:space="preserve">Results: Tables 2–4; User Feedback; Limitations</t>
        </is>
      </c>
      <c r="M7" s="4" t="inlineStr">
        <is>
          <t xml:space="preserve">https://www.jmir.org/2023/1/e43051/</t>
        </is>
      </c>
      <c r="N7" s="4" t="inlineStr">
        <is>
          <t xml:space="preserve">Primary full text; targeted endpoint check</t>
        </is>
      </c>
      <c r="O7" s="4" t="inlineStr">
        <is>
          <t xml:space="preserve">Analyst-proposed worked example; stronger claim is not a quotation or allegation about source authors.</t>
        </is>
      </c>
      <c r="P7" s="4" t="inlineStr">
        <is>
          <t xml:space="preserve">ChatPal generated engagement and feedback data alongside inconclusive well-being changes.</t>
        </is>
      </c>
      <c r="Q7" s="4" t="inlineStr">
        <is>
          <t xml:space="preserve">Supported with qualifications</t>
        </is>
      </c>
      <c r="R7" s="4" t="inlineStr">
        <is>
          <t xml:space="preserve">Provider-cost consequences of ChatPal have been evaluated in this claim ledger.</t>
        </is>
      </c>
      <c r="S7" s="4" t="inlineStr">
        <is>
          <t xml:space="preserve">Not assessed</t>
        </is>
      </c>
      <c r="T7" s="4" t="inlineStr">
        <is>
          <t xml:space="preserve">CE03A;CE03B</t>
        </is>
      </c>
    </row>
    <row r="8" ht="112" customHeight="1">
      <c r="A8" s="4" t="inlineStr">
        <is>
          <t xml:space="preserve">CE04</t>
        </is>
      </c>
      <c r="B8" s="4" t="inlineStr">
        <is>
          <t xml:space="preserve">S11</t>
        </is>
      </c>
      <c r="C8" s="4" t="inlineStr">
        <is>
          <t xml:space="preserve">Judson et al. (2020)</t>
        </is>
      </c>
      <c r="D8" s="4" t="inlineStr">
        <is>
          <t xml:space="preserve">10.1093/jamia/ocaa130</t>
        </is>
      </c>
      <c r="E8" s="4" t="inlineStr">
        <is>
          <t xml:space="preserve">Entrance clearance: manual 48 s (n = 28) versus digital 8 s (n = 20); peak-shift queue 500 s versus 100 s. Authors extrapolated &gt;15,000 waiting hours saved and reported staffing/cost savings without a comprehensive quantified net-cost model.</t>
        </is>
      </c>
      <c r="F8" s="4" t="inlineStr">
        <is>
          <t xml:space="preserve">Employees at one health system; timed clearance samples n = 28 manual and n = 20 digital</t>
        </is>
      </c>
      <c r="G8" s="4" t="inlineStr">
        <is>
          <t xml:space="preserve">Nonrandomized manual-versus-digital timing and implementation-period queue comparison</t>
        </is>
      </c>
      <c r="H8" s="4" t="inlineStr">
        <is>
          <t xml:space="preserve">Observed local operational time-saving evidence; not merely usage. Causal attribution and net organizational economics remain bounded.</t>
        </is>
      </c>
      <c r="I8" s="4" t="inlineStr">
        <is>
          <t xml:space="preserve">The implementation has established generalizable net cost-effectiveness.</t>
        </is>
      </c>
      <c r="J8" s="4" t="inlineStr">
        <is>
          <t xml:space="preserve">Attribution; transferability; full economic scope</t>
        </is>
      </c>
      <c r="K8" s="4" t="inlineStr">
        <is>
          <t xml:space="preserve">A credible counterfactual, total implementation/oversight/maintenance costs, displaced and added work, and setting-specific economic analysis.</t>
        </is>
      </c>
      <c r="L8" s="4" t="inlineStr">
        <is>
          <t xml:space="preserve">Results: Impact on Operations; limitations</t>
        </is>
      </c>
      <c r="M8" s="4" t="inlineStr">
        <is>
          <t xml:space="preserve">https://pmc.ncbi.nlm.nih.gov/articles/PMC7313990/</t>
        </is>
      </c>
      <c r="N8" s="4" t="inlineStr">
        <is>
          <t xml:space="preserve">Primary full text rechecked 23 October 2026; observed, extrapolated and asserted outcomes distinguished</t>
        </is>
      </c>
      <c r="O8" s="4" t="inlineStr">
        <is>
          <t xml:space="preserve">Analyst-proposed worked example; stronger claim is not a quotation or allegation about source authors.</t>
        </is>
      </c>
      <c r="P8" s="4" t="inlineStr">
        <is>
          <t xml:space="preserve">Digital screening had lower observed clearance and queue times in the reported implementation comparison.</t>
        </is>
      </c>
      <c r="Q8" s="4" t="inlineStr">
        <is>
          <t xml:space="preserve">Supported with qualifications</t>
        </is>
      </c>
      <c r="R8" s="4" t="inlineStr">
        <is>
          <t xml:space="preserve">These timings establish net cost-effectiveness across health systems.</t>
        </is>
      </c>
      <c r="S8" s="4" t="inlineStr">
        <is>
          <t xml:space="preserve">Not established</t>
        </is>
      </c>
      <c r="T8" s="4" t="inlineStr">
        <is>
          <t xml:space="preserve">CE04A;CE04B</t>
        </is>
      </c>
    </row>
    <row r="9" ht="60" customHeight="1">
      <c r="A9" s="4" t="inlineStr">
        <is>
          <t xml:space="preserve">CE05</t>
        </is>
      </c>
      <c r="B9" s="4" t="inlineStr">
        <is>
          <t xml:space="preserve">S24</t>
        </is>
      </c>
      <c r="C9" s="4" t="inlineStr">
        <is>
          <t xml:space="preserve">Ulrich et al. (2024)</t>
        </is>
      </c>
      <c r="D9" s="4" t="inlineStr">
        <is>
          <t xml:space="preserve">10.2196/50132</t>
        </is>
      </c>
      <c r="E9" s="4" t="inlineStr">
        <is>
          <t xml:space="preserve">Patient PHQ-ADS and MIDAS outcomes; PP PHQ-ADS 78/72; MIDAS 71/67; MIDAS between-group d = -0.45 (95% CI -0.79 to -0.12)</t>
        </is>
      </c>
      <c r="F9" s="4" t="inlineStr">
        <is>
          <t xml:space="preserve">198 randomized participants; endpoint-specific patient subsets</t>
        </is>
      </c>
      <c r="G9" s="4" t="inlineStr">
        <is>
          <t xml:space="preserve">Waitlist; ITT mixed models and PP analyses</t>
        </is>
      </c>
      <c r="H9" s="4" t="inlineStr">
        <is>
          <t xml:space="preserve">Patient symptom/functioning and productivity evidence within this trial; not provider staffing or health-system workload</t>
        </is>
      </c>
      <c r="I9" s="4" t="inlineStr">
        <is>
          <t xml:space="preserve">The provider needs fewer clinical staff</t>
        </is>
      </c>
      <c r="J9" s="4" t="inlineStr">
        <is>
          <t xml:space="preserve">Unit; construct</t>
        </is>
      </c>
      <c r="K9" s="4" t="inlineStr">
        <is>
          <t xml:space="preserve">Provider staffing/workflow endpoints rather than patient impairment scales</t>
        </is>
      </c>
      <c r="L9" s="4" t="inlineStr">
        <is>
          <t xml:space="preserve">Table 3; Methods: MIDAS; Secondary Outcomes</t>
        </is>
      </c>
      <c r="M9" s="4" t="inlineStr">
        <is>
          <t xml:space="preserve">https://www.jmir.org/2024/1/e50132/</t>
        </is>
      </c>
      <c r="N9" s="4" t="inlineStr">
        <is>
          <t xml:space="preserve">Primary full text; targeted endpoint check</t>
        </is>
      </c>
      <c r="O9" s="4" t="inlineStr">
        <is>
          <t xml:space="preserve">Analyst-proposed worked example; stronger claim is not a quotation or allegation about source authors.</t>
        </is>
      </c>
      <c r="P9" s="4" t="inlineStr">
        <is>
          <t xml:space="preserve">The BalanceUP trial provides patient-level mental-health and productivity outcome evidence.</t>
        </is>
      </c>
      <c r="Q9" s="4" t="inlineStr">
        <is>
          <t xml:space="preserve">Supported with qualifications</t>
        </is>
      </c>
      <c r="R9" s="4" t="inlineStr">
        <is>
          <t xml:space="preserve">The provider can reduce clinical staffing because participant MIDAS scores improved.</t>
        </is>
      </c>
      <c r="S9" s="4" t="inlineStr">
        <is>
          <t xml:space="preserve">Not established</t>
        </is>
      </c>
      <c r="T9" s="4" t="inlineStr">
        <is>
          <t xml:space="preserve">CE05A;CE05B</t>
        </is>
      </c>
    </row>
    <row r="10" ht="60" customHeight="1">
      <c r="A10" s="4" t="inlineStr">
        <is>
          <t xml:space="preserve">CE06</t>
        </is>
      </c>
      <c r="B10" s="4" t="inlineStr">
        <is>
          <t xml:space="preserve">U01</t>
        </is>
      </c>
      <c r="C10" s="4" t="inlineStr">
        <is>
          <t xml:space="preserve">Liao et al. (2026)</t>
        </is>
      </c>
      <c r="D10" s="4" t="inlineStr">
        <is>
          <t xml:space="preserve">10.2196/97773</t>
        </is>
      </c>
      <c r="E10" s="4" t="inlineStr">
        <is>
          <t xml:space="preserve">Usage intention after randomized messaging descriptions</t>
        </is>
      </c>
      <c r="F10" s="4" t="inlineStr">
        <is>
          <t xml:space="preserve">1000 US adults; online experiment</t>
        </is>
      </c>
      <c r="G10" s="4" t="inlineStr">
        <is>
          <t xml:space="preserve">Message framing and described chatbot type</t>
        </is>
      </c>
      <c r="H10" s="4" t="inlineStr">
        <is>
          <t xml:space="preserve">Adoption-related belief/intention evidence</t>
        </is>
      </c>
      <c r="I10" s="4" t="inlineStr">
        <is>
          <t xml:space="preserve">The chatbot achieves sustained adoption and clinical benefit</t>
        </is>
      </c>
      <c r="J10" s="4" t="inlineStr">
        <is>
          <t xml:space="preserve">Construct; transferability</t>
        </is>
      </c>
      <c r="K10" s="4" t="inlineStr">
        <is>
          <t xml:space="preserve">Observed longitudinal use and clinical endpoints</t>
        </is>
      </c>
      <c r="L10" s="4" t="inlineStr">
        <is>
          <t xml:space="preserve">Abstract; Methods; usage-intention measures</t>
        </is>
      </c>
      <c r="M10" s="4" t="inlineStr">
        <is>
          <t xml:space="preserve">https://www.jmir.org/2026/1/e97773/</t>
        </is>
      </c>
      <c r="N10" s="4" t="inlineStr">
        <is>
          <t xml:space="preserve">Primary full text; targeted current check</t>
        </is>
      </c>
      <c r="O10" s="4" t="inlineStr">
        <is>
          <t xml:space="preserve">Analyst-proposed worked example; stronger claim is not a quotation or allegation about source authors.</t>
        </is>
      </c>
      <c r="P10" s="4" t="inlineStr">
        <is>
          <t xml:space="preserve">The randomized messaging experiment estimates usage-intention responses in the tested population.</t>
        </is>
      </c>
      <c r="Q10" s="4" t="inlineStr">
        <is>
          <t xml:space="preserve">Supported within tested conditions</t>
        </is>
      </c>
      <c r="R10" s="4" t="inlineStr">
        <is>
          <t xml:space="preserve">The study establishes sustained chatbot adoption and clinical benefit.</t>
        </is>
      </c>
      <c r="S10" s="4" t="inlineStr">
        <is>
          <t xml:space="preserve">Not established</t>
        </is>
      </c>
      <c r="T10" s="4" t="inlineStr">
        <is>
          <t xml:space="preserve">CE06A;CE06B</t>
        </is>
      </c>
    </row>
    <row r="11" ht="60" customHeight="1">
      <c r="A11" s="4" t="inlineStr">
        <is>
          <t xml:space="preserve">CE07</t>
        </is>
      </c>
      <c r="B11" s="4" t="inlineStr">
        <is>
          <t xml:space="preserve">U02</t>
        </is>
      </c>
      <c r="C11" s="4" t="inlineStr">
        <is>
          <t xml:space="preserve">Sompornpailin et al. (2026)</t>
        </is>
      </c>
      <c r="D11" s="4" t="inlineStr">
        <is>
          <t xml:space="preserve">10.2196/86149</t>
        </is>
      </c>
      <c r="E11" s="4" t="inlineStr">
        <is>
          <t xml:space="preserve">Unscheduled hospital visits over 12 weeks</t>
        </is>
      </c>
      <c r="F11" s="4" t="inlineStr">
        <is>
          <t xml:space="preserve">40 patients; 20 per arm</t>
        </is>
      </c>
      <c r="G11" s="4" t="inlineStr">
        <is>
          <t xml:space="preserve">Chatbot plus usual care versus usual care</t>
        </is>
      </c>
      <c r="H11" s="4" t="inlineStr">
        <is>
          <t xml:space="preserve">Feasibility and an imprecise preliminary service-use comparison</t>
        </is>
      </c>
      <c r="I11" s="4" t="inlineStr">
        <is>
          <t xml:space="preserve">The intervention has established lower emergency utilization</t>
        </is>
      </c>
      <c r="J11" s="4" t="inlineStr">
        <is>
          <t xml:space="preserve">Attribution; uncertainty</t>
        </is>
      </c>
      <c r="K11" s="4" t="inlineStr">
        <is>
          <t xml:space="preserve">Larger adequately powered comparison; preserve P = .24 and endpoint definition</t>
        </is>
      </c>
      <c r="L11" s="4" t="inlineStr">
        <is>
          <t xml:space="preserve">Abstract; Unscheduled hospital visits: 3/20 vs 7/20, P = .24</t>
        </is>
      </c>
      <c r="M11" s="4" t="inlineStr">
        <is>
          <t xml:space="preserve">https://formative.jmir.org/2026/1/e86149/</t>
        </is>
      </c>
      <c r="N11" s="4" t="inlineStr">
        <is>
          <t xml:space="preserve">Primary full text; targeted current check</t>
        </is>
      </c>
      <c r="O11" s="4" t="inlineStr">
        <is>
          <t xml:space="preserve">Analyst-proposed worked example; stronger claim is not a quotation or allegation about source authors.</t>
        </is>
      </c>
      <c r="P11" s="4" t="inlineStr">
        <is>
          <t xml:space="preserve">The pilot demonstrates that the chatbot reduces unscheduled hospital visits.</t>
        </is>
      </c>
      <c r="Q11" s="4" t="inlineStr">
        <is>
          <t xml:space="preserve">Not established</t>
        </is>
      </c>
      <c r="R11" s="4" t="inlineStr">
        <is>
          <t xml:space="preserve">The report supports a bounded feasibility assessment of the supportive oncology platform.</t>
        </is>
      </c>
      <c r="S11" s="4" t="inlineStr">
        <is>
          <t xml:space="preserve">Supported with qualifications</t>
        </is>
      </c>
      <c r="T11" s="4" t="inlineStr">
        <is>
          <t xml:space="preserve">CE07A;CE07B</t>
        </is>
      </c>
    </row>
    <row r="12" ht="73" customHeight="1">
      <c r="A12" s="4" t="inlineStr">
        <is>
          <t xml:space="preserve">CE08</t>
        </is>
      </c>
      <c r="B12" s="4" t="inlineStr">
        <is>
          <t xml:space="preserve">U03</t>
        </is>
      </c>
      <c r="C12" s="4" t="inlineStr">
        <is>
          <t xml:space="preserve">Heinz et al. (2025)</t>
        </is>
      </c>
      <c r="D12" s="4" t="inlineStr">
        <is>
          <t xml:space="preserve">10.1056/AIoa2400802</t>
        </is>
      </c>
      <c r="E12" s="4" t="inlineStr">
        <is>
          <t xml:space="preserve">Symptoms following a generative therapy intervention</t>
        </is>
      </c>
      <c r="F12" s="4" t="inlineStr">
        <is>
          <t xml:space="preserve">210 adults randomized: 106 Therabot / 104 waitlist</t>
        </is>
      </c>
      <c r="G12" s="4" t="inlineStr">
        <is>
          <t xml:space="preserve">Waitlist, not active clinician-delivered therapy</t>
        </is>
      </c>
      <c r="H12" s="4" t="inlineStr">
        <is>
          <t xml:space="preserve">The primary abstract reports symptom benefits versus waitlist at 4/8 weeks; no full-text effect re-extraction or clinician-equivalence inference</t>
        </is>
      </c>
      <c r="I12" s="4" t="inlineStr">
        <is>
          <t xml:space="preserve">Therabot is equivalent to clinician-delivered therapy</t>
        </is>
      </c>
      <c r="J12" s="4" t="inlineStr">
        <is>
          <t xml:space="preserve">Attribution; transferability</t>
        </is>
      </c>
      <c r="K12" s="4" t="inlineStr">
        <is>
          <t xml:space="preserve">Active clinician comparator with an appropriate prespecified design</t>
        </is>
      </c>
      <c r="L12" s="4" t="inlineStr">
        <is>
          <t xml:space="preserve">Primary-author-hosted abstract: Methods and Results</t>
        </is>
      </c>
      <c r="M12" s="4" t="inlineStr">
        <is>
          <t xml:space="preserve">https://www.nicholasjacobson.com/publication/heinz-mackin-trudeau-bhattacharya-wang-et-al-2025/</t>
        </is>
      </c>
      <c r="N12" s="4" t="inlineStr">
        <is>
          <t xml:space="preserve">Publication abstract reproduced on senior author website; publisher full text inaccessible</t>
        </is>
      </c>
      <c r="O12" s="4" t="inlineStr">
        <is>
          <t xml:space="preserve">Analyst-proposed worked example; stronger claim is not a quotation or allegation about source authors.</t>
        </is>
      </c>
      <c r="P12" s="4" t="inlineStr">
        <is>
          <t xml:space="preserve">Therabot improved reported symptoms relative to waitlist in the trial described by the primary abstract.</t>
        </is>
      </c>
      <c r="Q12" s="4" t="inlineStr">
        <is>
          <t xml:space="preserve">Supported with qualifications</t>
        </is>
      </c>
      <c r="R12" s="4" t="inlineStr">
        <is>
          <t xml:space="preserve">Its comparative effectiveness against clinician-delivered treatment was assessed here.</t>
        </is>
      </c>
      <c r="S12" s="4" t="inlineStr">
        <is>
          <t xml:space="preserve">Not assessed</t>
        </is>
      </c>
      <c r="T12" s="4" t="inlineStr">
        <is>
          <t xml:space="preserve">CE08A;CE08B</t>
        </is>
      </c>
    </row>
    <row r="13" ht="60" customHeight="1">
      <c r="A13" s="4" t="inlineStr">
        <is>
          <t xml:space="preserve">CE09</t>
        </is>
      </c>
      <c r="B13" s="4" t="inlineStr">
        <is>
          <t xml:space="preserve">U04</t>
        </is>
      </c>
      <c r="C13" s="4" t="inlineStr">
        <is>
          <t xml:space="preserve">Shoshani et al. (2026)</t>
        </is>
      </c>
      <c r="D13" s="4" t="inlineStr">
        <is>
          <t xml:space="preserve">10.1001/jamanetworkopen.2026.6713</t>
        </is>
      </c>
      <c r="E13" s="4" t="inlineStr">
        <is>
          <t xml:space="preserve">Symptoms, well-being and therapeutic-alliance associations</t>
        </is>
      </c>
      <c r="F13" s="4" t="inlineStr">
        <is>
          <t xml:space="preserve">995 university students</t>
        </is>
      </c>
      <c r="G13" s="4" t="inlineStr">
        <is>
          <t xml:space="preserve">Group therapy and waiting list</t>
        </is>
      </c>
      <c r="H13" s="4" t="inlineStr">
        <is>
          <t xml:space="preserve">Some comparative clinical benefits; examined alliance/engagement associations</t>
        </is>
      </c>
      <c r="I13" s="4" t="inlineStr">
        <is>
          <t xml:space="preserve">Randomization proves alliance causally mediates benefit</t>
        </is>
      </c>
      <c r="J13" s="4" t="inlineStr">
        <is>
          <t xml:space="preserve">Attribution</t>
        </is>
      </c>
      <c r="K13" s="4" t="inlineStr">
        <is>
          <t xml:space="preserve">A justified mediation design and assumptions; treatment randomization does not randomize the mediator</t>
        </is>
      </c>
      <c r="L13" s="4" t="inlineStr">
        <is>
          <t xml:space="preserve">Abstract; Results; structural equation associations</t>
        </is>
      </c>
      <c r="M13" s="4" t="inlineStr">
        <is>
          <t xml:space="preserve">https://jamanetwork.com/journals/jamanetworkopen/fullarticle/2847751</t>
        </is>
      </c>
      <c r="N13" s="4" t="inlineStr">
        <is>
          <t xml:space="preserve">Primary full text; targeted current check</t>
        </is>
      </c>
      <c r="O13" s="4" t="inlineStr">
        <is>
          <t xml:space="preserve">Analyst-proposed worked example; stronger claim is not a quotation or allegation about source authors.</t>
        </is>
      </c>
      <c r="P13" s="4" t="inlineStr">
        <is>
          <t xml:space="preserve">The three-arm trial provides outcome-specific clinical comparisons, including anxiety benefit against both comparators.</t>
        </is>
      </c>
      <c r="Q13" s="4" t="inlineStr">
        <is>
          <t xml:space="preserve">Supported with qualifications</t>
        </is>
      </c>
      <c r="R13" s="4" t="inlineStr">
        <is>
          <t xml:space="preserve">Treatment randomization establishes a causal mediating effect of therapeutic alliance.</t>
        </is>
      </c>
      <c r="S13" s="4" t="inlineStr">
        <is>
          <t xml:space="preserve">Not established</t>
        </is>
      </c>
      <c r="T13" s="4" t="inlineStr">
        <is>
          <t xml:space="preserve">CE09A;CE09B</t>
        </is>
      </c>
    </row>
  </sheetData>
  <autoFilter ref="A4:T13"/>
  <mergeCells count="2">
    <mergeCell ref="A1:T1"/>
    <mergeCell ref="A2:T2"/>
  </mergeCells>
  <pageMargins left="0.3" right="0.3" top="0.5" bottom="0.5" header="0.2" footer="0.2"/>
</worksheet>
</file>

<file path=xl/worksheets/sheet9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sheetFormatPr defaultRowHeight="18"/>
  <cols>
    <col min="1" max="1" width="36" customWidth="1"/>
    <col min="2" max="2" width="36" customWidth="1"/>
    <col min="3" max="3" width="36" customWidth="1"/>
    <col min="4" max="4" width="36" customWidth="1"/>
    <col min="5" max="5" width="36" customWidth="1"/>
    <col min="6" max="6" width="42" customWidth="1"/>
    <col min="7" max="7" width="36" customWidth="1"/>
  </cols>
  <sheetData>
    <row r="1" ht="30" customHeight="1">
      <c r="A1" s="1" t="inlineStr">
        <is>
          <t xml:space="preserve">Framework comparison</t>
        </is>
      </c>
    </row>
    <row r="2" ht="34" customHeight="1">
      <c r="A2" s="2" t="inlineStr">
        <is>
          <t xml:space="preserve">Source: 01_data/framework_comparison.csv. Report-level evidence; source-access limits and analytic roles are retained.</t>
        </is>
      </c>
    </row>
    <row r="4" ht="44" customHeight="1">
      <c r="A4" s="3" t="inlineStr">
        <is>
          <t xml:space="preserve">framework</t>
        </is>
      </c>
      <c r="B4" s="3" t="inlineStr">
        <is>
          <t xml:space="preserve">key</t>
        </is>
      </c>
      <c r="C4" s="3" t="inlineStr">
        <is>
          <t xml:space="preserve">established_contribution</t>
        </is>
      </c>
      <c r="D4" s="3" t="inlineStr">
        <is>
          <t xml:space="preserve">overlap</t>
        </is>
      </c>
      <c r="E4" s="3" t="inlineStr">
        <is>
          <t xml:space="preserve">added_application</t>
        </is>
      </c>
      <c r="F4" s="3" t="inlineStr">
        <is>
          <t xml:space="preserve">not_claimed</t>
        </is>
      </c>
      <c r="G4" s="3" t="inlineStr">
        <is>
          <t xml:space="preserve">source_url</t>
        </is>
      </c>
    </row>
    <row r="5" ht="60" customHeight="1">
      <c r="A5" s="4" t="inlineStr">
        <is>
          <t xml:space="preserve">Proctor implementation outcomes</t>
        </is>
      </c>
      <c r="B5" s="4" t="inlineStr">
        <is>
          <t xml:space="preserve">proctor</t>
        </is>
      </c>
      <c r="C5" s="4" t="inlineStr">
        <is>
          <t xml:space="preserve">Separates implementation from service and clinical outcomes; addresses measurement and unit of analysis.</t>
        </is>
      </c>
      <c r="D5" s="4" t="inlineStr">
        <is>
          <t xml:space="preserve">Construct and unit checks already have an established methodological basis.</t>
        </is>
      </c>
      <c r="E5" s="4" t="inlineStr">
        <is>
          <t xml:space="preserve">Record exactly which published endpoint supports a specified chatbot deployment claim and which inference remains unmeasured.</t>
        </is>
      </c>
      <c r="F5" s="4" t="inlineStr">
        <is>
          <t xml:space="preserve">No new outcome taxonomy; no replacement for Proctor outcome definitions.</t>
        </is>
      </c>
      <c r="G5" s="4" t="inlineStr">
        <is>
          <t xml:space="preserve">https://doi.org/10.1007/s10488-010-0319-7</t>
        </is>
      </c>
    </row>
    <row r="6" ht="60" customHeight="1">
      <c r="A6" s="4" t="inlineStr">
        <is>
          <t xml:space="preserve">NASSS</t>
        </is>
      </c>
      <c r="B6" s="4" t="inlineStr">
        <is>
          <t xml:space="preserve">nasss</t>
        </is>
      </c>
      <c r="C6" s="4" t="inlineStr">
        <is>
          <t xml:space="preserve">Examines complexity across condition, technology, value proposition, adopters, organization, wider context and adaptation over time.</t>
        </is>
      </c>
      <c r="D6" s="4" t="inlineStr">
        <is>
          <t xml:space="preserve">Transferability, governance and value proposition are central to NASSS already.</t>
        </is>
      </c>
      <c r="E6" s="4" t="inlineStr">
        <is>
          <t xml:space="preserve">Attach source-level claim dispositions to a particular proposed task, model version, population and support pathway.</t>
        </is>
      </c>
      <c r="F6" s="4" t="inlineStr">
        <is>
          <t xml:space="preserve">Not a substitute for longitudinal contextual/implementation analysis; no superiority claim.</t>
        </is>
      </c>
      <c r="G6" s="4" t="inlineStr">
        <is>
          <t xml:space="preserve">https://www.jmir.org/2017/11/e367/</t>
        </is>
      </c>
    </row>
    <row r="7" ht="73" customHeight="1">
      <c r="A7" s="4" t="inlineStr">
        <is>
          <t xml:space="preserve">NICE Evidence Standards Framework</t>
        </is>
      </c>
      <c r="B7" s="4" t="inlineStr">
        <is>
          <t xml:space="preserve">nice</t>
        </is>
      </c>
      <c r="C7" s="4" t="inlineStr">
        <is>
          <t xml:space="preserve">Specifies intended-purpose/risk-proportionate evidence and clinical, resource, budget-impact and economic evaluation expectations.</t>
        </is>
      </c>
      <c r="D7" s="4" t="inlineStr">
        <is>
          <t xml:space="preserve">Comparator, organizational value, monitoring and cost requirements are already specified in the standard.</t>
        </is>
      </c>
      <c r="E7" s="4" t="inlineStr">
        <is>
          <t xml:space="preserve">Use a claim-to-source worksheet to check whether the cited result actually addresses the benefit asserted in a procurement discussion.</t>
        </is>
      </c>
      <c r="F7" s="4" t="inlineStr">
        <is>
          <t xml:space="preserve">Not a new evidence standard, medical-device approval or certification; does not determine applicable jurisdiction.</t>
        </is>
      </c>
      <c r="G7" s="4" t="inlineStr">
        <is>
          <t xml:space="preserve">https://www.nice.org.uk/corporate/ecd7</t>
        </is>
      </c>
    </row>
    <row r="8" ht="73" customHeight="1">
      <c r="A8" s="4" t="inlineStr">
        <is>
          <t xml:space="preserve">Present claim–evidence alignment worksheet</t>
        </is>
      </c>
      <c r="B8" s="4" t="inlineStr">
        <is>
          <t xml:space="preserve">present</t>
        </is>
      </c>
      <c r="C8" s="4" t="inlineStr">
        <is>
          <t xml:space="preserve">Proposed application-layer synthesis illustrated by 9 cases and 18 analyst-specified claims.</t>
        </is>
      </c>
      <c r="D8" s="4" t="inlineStr">
        <is>
          <t xml:space="preserve">Uses established inference, implementation and evidence-standard principles.</t>
        </is>
      </c>
      <c r="E8" s="4" t="inlineStr">
        <is>
          <t xml:space="preserve">Five checks plus explicit evidence disposition, source locator and next observation; clinical and organizational outcomes remain parallel.</t>
        </is>
      </c>
      <c r="F8" s="4" t="inlineStr">
        <is>
          <t xml:space="preserve">No empirical validation, reliability coefficient, prevalence estimate or demonstrated decision advantage.</t>
        </is>
      </c>
      <c r="G8" s="4" t="inlineStr">
        <is>
          <t xml:space="preserve">Supplement S1; claim_dispositions18.csv</t>
        </is>
      </c>
    </row>
  </sheetData>
  <autoFilter ref="A4:G8"/>
  <mergeCells count="2">
    <mergeCell ref="A1:G1"/>
    <mergeCell ref="A2:G2"/>
  </mergeCells>
  <pageMargins left="0.3" right="0.3" top="0.5" bottom="0.5" header="0.2" footer="0.2"/>
</worksheet>
</file>

<file path=xl/worksheets/sheet10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sheetFormatPr defaultRowHeight="18"/>
  <cols>
    <col min="1" max="1" width="12" customWidth="1"/>
    <col min="2" max="2" width="12" customWidth="1"/>
    <col min="3" max="3" width="36" customWidth="1"/>
    <col min="4" max="4" width="36" customWidth="1"/>
    <col min="5" max="5" width="36" customWidth="1"/>
    <col min="6" max="6" width="42" customWidth="1"/>
    <col min="7" max="7" width="36" customWidth="1"/>
  </cols>
  <sheetData>
    <row r="1" ht="30" customHeight="1">
      <c r="A1" s="1" t="inlineStr">
        <is>
          <t xml:space="preserve">Contemporary reports</t>
        </is>
      </c>
    </row>
    <row r="2" ht="34" customHeight="1">
      <c r="A2" s="2" t="inlineStr">
        <is>
          <t xml:space="preserve">Source: 01_data/currency_evidence.csv. Report-level evidence; source-access limits and analytic roles are retained.</t>
        </is>
      </c>
    </row>
    <row r="4" ht="44" customHeight="1">
      <c r="A4" s="3" t="inlineStr">
        <is>
          <t xml:space="preserve">record_id</t>
        </is>
      </c>
      <c r="B4" s="3" t="inlineStr">
        <is>
          <t xml:space="preserve">year</t>
        </is>
      </c>
      <c r="C4" s="3" t="inlineStr">
        <is>
          <t xml:space="preserve">citation</t>
        </is>
      </c>
      <c r="D4" s="3" t="inlineStr">
        <is>
          <t xml:space="preserve">doi</t>
        </is>
      </c>
      <c r="E4" s="3" t="inlineStr">
        <is>
          <t xml:space="preserve">source_url</t>
        </is>
      </c>
      <c r="F4" s="3" t="inlineStr">
        <is>
          <t xml:space="preserve">finding</t>
        </is>
      </c>
      <c r="G4" s="3" t="inlineStr">
        <is>
          <t xml:space="preserve">boundary</t>
        </is>
      </c>
    </row>
    <row r="5" ht="99" customHeight="1">
      <c r="A5" s="4" t="inlineStr">
        <is>
          <t xml:space="preserve">U01</t>
        </is>
      </c>
      <c r="B5" s="5">
        <v>2026</v>
      </c>
      <c r="C5" s="4" t="inlineStr">
        <is>
          <t xml:space="preserve">Liao Y, Madeo A, Allen CG, et al. The Impact of Chatbot Type and Normative Messaging on Chatbot Usage Intention Based on the Health Technology Acceptance Model: Randomized Controlled Trial. J Med Internet Res. 2026;28:e97773.</t>
        </is>
      </c>
      <c r="D5" s="4" t="inlineStr">
        <is>
          <t xml:space="preserve">10.2196/97773</t>
        </is>
      </c>
      <c r="E5" s="4" t="inlineStr">
        <is>
          <t xml:space="preserve">https://www.jmir.org/2026/1/e97773/</t>
        </is>
      </c>
      <c r="F5" s="4" t="inlineStr">
        <is>
          <t xml:space="preserve">1000 US adults; 4x2 online scenario experiment; usage intention, not actual sustained use or clinical efficacy.</t>
        </is>
      </c>
      <c r="G5" s="4" t="inlineStr">
        <is>
          <t xml:space="preserve">Purposively selected contemporary illustration; not part of historical denominator or an exhaustive update.</t>
        </is>
      </c>
    </row>
    <row r="6" ht="125" customHeight="1">
      <c r="A6" s="4" t="inlineStr">
        <is>
          <t xml:space="preserve">U02</t>
        </is>
      </c>
      <c r="B6" s="5">
        <v>2026</v>
      </c>
      <c r="C6" s="4" t="inlineStr">
        <is>
          <t xml:space="preserve">Sompornpailin N, Susiriwatananont T, Sriuranpong V, et al. Feasibility and Preliminary Effectiveness of the ChulaCancer Mobile Chatbot for Supportive Care of Patients With Breast or Colorectal Cancer Receiving Chemotherapy: Pilot Randomized Controlled Trial. JMIR Form Res. 2026;10:e86149.</t>
        </is>
      </c>
      <c r="D6" s="4" t="inlineStr">
        <is>
          <t xml:space="preserve">10.2196/86149</t>
        </is>
      </c>
      <c r="E6" s="4" t="inlineStr">
        <is>
          <t xml:space="preserve">https://formative.jmir.org/2026/1/e86149/</t>
        </is>
      </c>
      <c r="F6" s="4" t="inlineStr">
        <is>
          <t xml:space="preserve">40 patients; 20/20; 12-week pilot; unscheduled hospital visits 3/20 versus 7/20, P = .24, not established reduction.</t>
        </is>
      </c>
      <c r="G6" s="4" t="inlineStr">
        <is>
          <t xml:space="preserve">Purposively selected contemporary illustration; not part of historical denominator or an exhaustive update.</t>
        </is>
      </c>
    </row>
    <row r="7" ht="99" customHeight="1">
      <c r="A7" s="4" t="inlineStr">
        <is>
          <t xml:space="preserve">U03</t>
        </is>
      </c>
      <c r="B7" s="5">
        <v>2025</v>
      </c>
      <c r="C7" s="4" t="inlineStr">
        <is>
          <t xml:space="preserve">Heinz MV, Mackin DM, Trudeau BM, et al. Randomized trial of a generative AI chatbot for mental health treatment. NEJM AI. 2025;2(4):AIoa2400802.</t>
        </is>
      </c>
      <c r="D7" s="4" t="inlineStr">
        <is>
          <t xml:space="preserve">10.1056/AIoa2400802</t>
        </is>
      </c>
      <c r="E7" s="4" t="inlineStr">
        <is>
          <t xml:space="preserve">https://www.nicholasjacobson.com/publication/heinz-mackin-trudeau-bhattacharya-wang-et-al-2025/</t>
        </is>
      </c>
      <c r="F7" s="4" t="inlineStr">
        <is>
          <t xml:space="preserve">210 adults; Therabot versus waitlist; symptom improvement at four/eight weeks; not an active clinician-treatment comparison.</t>
        </is>
      </c>
      <c r="G7" s="4" t="inlineStr">
        <is>
          <t xml:space="preserve">Primary-publication abstract reproduced by a study author; publisher full text inaccessible. Only sample, comparator, timing and abstract-level outcome direction used; no complete risk-of-bias assessment.</t>
        </is>
      </c>
    </row>
    <row r="8" ht="99" customHeight="1">
      <c r="A8" s="4" t="inlineStr">
        <is>
          <t xml:space="preserve">U04</t>
        </is>
      </c>
      <c r="B8" s="5">
        <v>2026</v>
      </c>
      <c r="C8" s="4" t="inlineStr">
        <is>
          <t xml:space="preserve">Shoshani A, Gurfinkel B, Kor A, et al. Efficacy of a conversational AI agent for psychiatric symptoms and digital therapeutic alliance: a randomized clinical trial. JAMA Netw Open. 2026;9(4):e266713.</t>
        </is>
      </c>
      <c r="D8" s="4" t="inlineStr">
        <is>
          <t xml:space="preserve">10.1001/jamanetworkopen.2026.6713</t>
        </is>
      </c>
      <c r="E8" s="4" t="inlineStr">
        <is>
          <t xml:space="preserve">https://jamanetwork.com/journals/jamanetworkopen/fullarticle/2847751</t>
        </is>
      </c>
      <c r="F8" s="4" t="inlineStr">
        <is>
          <t xml:space="preserve">995 university students; 12-week three-arm trial with group therapy and waiting list; some symptom/well-being benefits; no PTSD difference; alliance/engagement/outcome associations examined.</t>
        </is>
      </c>
      <c r="G8" s="4" t="inlineStr">
        <is>
          <t xml:space="preserve">Contemporary counterexample to a blanket absence-of-mechanism-evidence claim; associations do not themselves establish randomized mediation. Not in historical denominator.</t>
        </is>
      </c>
    </row>
  </sheetData>
  <autoFilter ref="A4:G8"/>
  <mergeCells count="2">
    <mergeCell ref="A1:G1"/>
    <mergeCell ref="A2:G2"/>
  </mergeCells>
  <pageMargins left="0.3" right="0.3" top="0.5" bottom="0.5" header="0.2" footer="0.2"/>
</worksheet>
</file>

<file path=xl/worksheets/sheet11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sheetFormatPr defaultRowHeight="18"/>
  <cols>
    <col min="1" max="1" width="12" customWidth="1"/>
    <col min="2" max="2" width="36" customWidth="1"/>
    <col min="3" max="3" width="36" customWidth="1"/>
    <col min="4" max="4" width="36" customWidth="1"/>
    <col min="5" max="5" width="36" customWidth="1"/>
    <col min="6" max="6" width="42" customWidth="1"/>
  </cols>
  <sheetData>
    <row r="1" ht="30" customHeight="1">
      <c r="A1" s="1" t="inlineStr">
        <is>
          <t xml:space="preserve">Theory examples</t>
        </is>
      </c>
    </row>
    <row r="2" ht="34" customHeight="1">
      <c r="A2" s="2" t="inlineStr">
        <is>
          <t xml:space="preserve">Source: 01_data/theory_examples.csv. Report-level evidence; source-access limits and analytic roles are retained.</t>
        </is>
      </c>
    </row>
    <row r="4" ht="44" customHeight="1">
      <c r="A4" s="3" t="inlineStr">
        <is>
          <t xml:space="preserve">study_id</t>
        </is>
      </c>
      <c r="B4" s="3" t="inlineStr">
        <is>
          <t xml:space="preserve">framework</t>
        </is>
      </c>
      <c r="C4" s="3" t="inlineStr">
        <is>
          <t xml:space="preserve">role</t>
        </is>
      </c>
      <c r="D4" s="3" t="inlineStr">
        <is>
          <t xml:space="preserve">source_locator</t>
        </is>
      </c>
      <c r="E4" s="3" t="inlineStr">
        <is>
          <t xml:space="preserve">source_url</t>
        </is>
      </c>
      <c r="F4" s="3" t="inlineStr">
        <is>
          <t xml:space="preserve">interpretation</t>
        </is>
      </c>
    </row>
    <row r="5" ht="34" customHeight="1">
      <c r="A5" s="4" t="inlineStr">
        <is>
          <t xml:space="preserve">S18</t>
        </is>
      </c>
      <c r="B5" s="4" t="inlineStr">
        <is>
          <t xml:space="preserve">CBT</t>
        </is>
      </c>
      <c r="C5" s="4" t="inlineStr">
        <is>
          <t xml:space="preserve">Intervention content</t>
        </is>
      </c>
      <c r="D5" s="4" t="inlineStr">
        <is>
          <t xml:space="preserve">Primary report Abstract; Intervention</t>
        </is>
      </c>
      <c r="E5" s="4" t="inlineStr">
        <is>
          <t xml:space="preserve">https://www.jmir.org/2022/11/e40719/</t>
        </is>
      </c>
      <c r="F5" s="4" t="inlineStr">
        <is>
          <t xml:space="preserve">Selected positive example; not a theory-frequency observation</t>
        </is>
      </c>
    </row>
    <row r="6" ht="34" customHeight="1">
      <c r="A6" s="4" t="inlineStr">
        <is>
          <t xml:space="preserve">S21</t>
        </is>
      </c>
      <c r="B6" s="4" t="inlineStr">
        <is>
          <t xml:space="preserve">PERMA/H</t>
        </is>
      </c>
      <c r="C6" s="4" t="inlineStr">
        <is>
          <t xml:space="preserve">Positive-psychology content design</t>
        </is>
      </c>
      <c r="D6" s="4" t="inlineStr">
        <is>
          <t xml:space="preserve">Primary report Intervention</t>
        </is>
      </c>
      <c r="E6" s="4" t="inlineStr">
        <is>
          <t xml:space="preserve">https://www.jmir.org/2023/1/e43051/</t>
        </is>
      </c>
      <c r="F6" s="4" t="inlineStr">
        <is>
          <t xml:space="preserve">Selected positive example; not a theory-frequency observation</t>
        </is>
      </c>
    </row>
    <row r="7" ht="34" customHeight="1">
      <c r="A7" s="4" t="inlineStr">
        <is>
          <t xml:space="preserve">S24</t>
        </is>
      </c>
      <c r="B7" s="4" t="inlineStr">
        <is>
          <t xml:space="preserve">HAPA</t>
        </is>
      </c>
      <c r="C7" s="4" t="inlineStr">
        <is>
          <t xml:space="preserve">Behaviour-change stage measurement</t>
        </is>
      </c>
      <c r="D7" s="4" t="inlineStr">
        <is>
          <t xml:space="preserve">Table 2 footnote; Table 3</t>
        </is>
      </c>
      <c r="E7" s="4" t="inlineStr">
        <is>
          <t xml:space="preserve">https://www.jmir.org/2024/1/e50132/</t>
        </is>
      </c>
      <c r="F7" s="4" t="inlineStr">
        <is>
          <t xml:space="preserve">Selected positive example; not a theory-frequency observation</t>
        </is>
      </c>
    </row>
  </sheetData>
  <autoFilter ref="A4:F7"/>
  <mergeCells count="2">
    <mergeCell ref="A1:F1"/>
    <mergeCell ref="A2:F2"/>
  </mergeCells>
  <pageMargins left="0.3" right="0.3" top="0.5" bottom="0.5" header="0.2" footer="0.2"/>
</worksheet>
</file>

<file path=xl/worksheets/sheet12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sheetFormatPr defaultRowHeight="18"/>
  <cols>
    <col min="1" max="1" width="12" customWidth="1"/>
    <col min="2" max="2" width="36" customWidth="1"/>
    <col min="3" max="3" width="36" customWidth="1"/>
    <col min="4" max="4" width="36" customWidth="1"/>
    <col min="5" max="5" width="36" customWidth="1"/>
  </cols>
  <sheetData>
    <row r="1" ht="30" customHeight="1">
      <c r="A1" s="1" t="inlineStr">
        <is>
          <t xml:space="preserve">References</t>
        </is>
      </c>
    </row>
    <row r="2" ht="34" customHeight="1">
      <c r="A2" s="2" t="inlineStr">
        <is>
          <t xml:space="preserve">Source: 04_outputs/main_reference_crosswalk.csv. Report-level evidence; source-access limits and analytic roles are retained.</t>
        </is>
      </c>
    </row>
    <row r="4" ht="44" customHeight="1">
      <c r="A4" s="3" t="inlineStr">
        <is>
          <t xml:space="preserve">number</t>
        </is>
      </c>
      <c r="B4" s="3" t="inlineStr">
        <is>
          <t xml:space="preserve">key</t>
        </is>
      </c>
      <c r="C4" s="3" t="inlineStr">
        <is>
          <t xml:space="preserve">doi</t>
        </is>
      </c>
      <c r="D4" s="3" t="inlineStr">
        <is>
          <t xml:space="preserve">reference</t>
        </is>
      </c>
      <c r="E4" s="3" t="inlineStr">
        <is>
          <t xml:space="preserve">source_url</t>
        </is>
      </c>
    </row>
    <row r="5" ht="99" customHeight="1">
      <c r="A5" s="5">
        <v>1</v>
      </c>
      <c r="B5" s="4" t="inlineStr">
        <is>
          <t xml:space="preserve">wutz</t>
        </is>
      </c>
      <c r="C5" s="4" t="inlineStr">
        <is>
          <t xml:space="preserve">10.2196/46548</t>
        </is>
      </c>
      <c r="D5" s="4" t="inlineStr">
        <is>
          <t xml:space="preserve">Wutz M, Hermes M, Winter V, Köberlein-Neu J. Factors influencing the acceptability, acceptance, and adoption of conversational agents in health care: integrative review. J Med Internet Res. 2023;25:e46548. doi:10.2196/46548.</t>
        </is>
      </c>
      <c r="E5" s="4" t="inlineStr">
        <is>
          <t xml:space="preserve">https://doi.org/10.2196/46548</t>
        </is>
      </c>
    </row>
    <row r="6" ht="99" customHeight="1">
      <c r="A6" s="5">
        <v>2</v>
      </c>
      <c r="B6" s="4" t="inlineStr">
        <is>
          <t xml:space="preserve">laymouna</t>
        </is>
      </c>
      <c r="C6" s="4" t="inlineStr">
        <is>
          <t xml:space="preserve">10.2196/56930</t>
        </is>
      </c>
      <c r="D6" s="4" t="inlineStr">
        <is>
          <t xml:space="preserve">Laymouna M, Ma Y, Lessard D, Schuster T, Engler K, Lebouché B. Roles, users, benefits, and limitations of chatbots in health care: rapid review. J Med Internet Res. 2024;26:e56930. doi:10.2196/56930.</t>
        </is>
      </c>
      <c r="E6" s="4" t="inlineStr">
        <is>
          <t xml:space="preserve">https://doi.org/10.2196/56930</t>
        </is>
      </c>
    </row>
    <row r="7" ht="112" customHeight="1">
      <c r="A7" s="5">
        <v>3</v>
      </c>
      <c r="B7" s="4" t="inlineStr">
        <is>
          <t xml:space="preserve">jabir</t>
        </is>
      </c>
      <c r="C7" s="4" t="inlineStr">
        <is>
          <t xml:space="preserve">10.2196/44548</t>
        </is>
      </c>
      <c r="D7" s="4" t="inlineStr">
        <is>
          <t xml:space="preserve">Jabir AI, Martinengo L, Lin X, Torous J, Subramaniam M, Tudor Car L. Evaluating conversational agents for mental health: scoping review of outcomes and outcome measurement instruments. J Med Internet Res. 2023;25:e44548. doi:10.2196/44548.</t>
        </is>
      </c>
      <c r="E7" s="4" t="inlineStr">
        <is>
          <t xml:space="preserve">https://doi.org/10.2196/44548</t>
        </is>
      </c>
    </row>
    <row r="8" ht="99" customHeight="1">
      <c r="A8" s="5">
        <v>4</v>
      </c>
      <c r="B8" s="4" t="inlineStr">
        <is>
          <t xml:space="preserve">proctor</t>
        </is>
      </c>
      <c r="C8" s="4" t="inlineStr">
        <is>
          <t xml:space="preserve">10.1007/s10488-010-0319-7</t>
        </is>
      </c>
      <c r="D8" s="4" t="inlineStr">
        <is>
          <t xml:space="preserve">Proctor E, Silmere H, Raghavan R, et al. Outcomes for implementation research: conceptual distinctions, measurement challenges, and research agenda. Adm Policy Ment Health. 2011;38(2):65–76. doi:10.1007/s10488-010-0319-7.</t>
        </is>
      </c>
      <c r="E8" s="4" t="inlineStr">
        <is>
          <t xml:space="preserve">https://doi.org/10.1007/s10488-010-0319-7</t>
        </is>
      </c>
    </row>
    <row r="9" ht="125" customHeight="1">
      <c r="A9" s="5">
        <v>5</v>
      </c>
      <c r="B9" s="4" t="inlineStr">
        <is>
          <t xml:space="preserve">nasss</t>
        </is>
      </c>
      <c r="C9" s="4" t="inlineStr">
        <is>
          <t xml:space="preserve">10.2196/jmir.8775</t>
        </is>
      </c>
      <c r="D9" s="4" t="inlineStr">
        <is>
          <t xml:space="preserve">Greenhalgh T, Wherton J, Papoutsi C, et al. Beyond adoption: a new framework for theorizing and evaluating nonadoption, abandonment, and challenges to the scale-up, spread, and sustainability of health and care technologies. J Med Internet Res. 2017;19(11):e367. doi:10.2196/jmir.8775.</t>
        </is>
      </c>
      <c r="E9" s="4" t="inlineStr">
        <is>
          <t xml:space="preserve">https://www.jmir.org/2017/11/e367/</t>
        </is>
      </c>
    </row>
    <row r="10" ht="99" customHeight="1">
      <c r="A10" s="5">
        <v>6</v>
      </c>
      <c r="B10" s="4" t="inlineStr">
        <is>
          <t xml:space="preserve">nice</t>
        </is>
      </c>
      <c r="C10" s="4" t="inlineStr">
        <is>
          <t xml:space="preserve"/>
        </is>
      </c>
      <c r="D10" s="4" t="inlineStr">
        <is>
          <t xml:space="preserve">National Institute for Health and Care Excellence. Evidence standards framework for digital health technologies. ECD7. Updated 9 August 2022. https://www.nice.org.uk/corporate/ecd7 (accessed 23 October 2026).</t>
        </is>
      </c>
      <c r="E10" s="4" t="inlineStr">
        <is>
          <t xml:space="preserve">https://www.nice.org.uk/corporate/ecd7</t>
        </is>
      </c>
    </row>
    <row r="11" ht="73" customHeight="1">
      <c r="A11" s="5">
        <v>7</v>
      </c>
      <c r="B11" s="4" t="inlineStr">
        <is>
          <t xml:space="preserve">whittemore</t>
        </is>
      </c>
      <c r="C11" s="4" t="inlineStr">
        <is>
          <t xml:space="preserve">10.1111/j.1365-2648.2005.03621.x</t>
        </is>
      </c>
      <c r="D11" s="4" t="inlineStr">
        <is>
          <t xml:space="preserve">Whittemore R, Knafl K. The integrative review: updated methodology. J Adv Nurs. 2005;52(5):546–553. doi:10.1111/j.1365-2648.2005.03621.x.</t>
        </is>
      </c>
      <c r="E11" s="4" t="inlineStr">
        <is>
          <t xml:space="preserve">https://doi.org/10.1111/j.1365-2648.2005.03621.x</t>
        </is>
      </c>
    </row>
    <row r="12" ht="86" customHeight="1">
      <c r="A12" s="5">
        <v>8</v>
      </c>
      <c r="B12" s="4" t="inlineStr">
        <is>
          <t xml:space="preserve">sanra</t>
        </is>
      </c>
      <c r="C12" s="4" t="inlineStr">
        <is>
          <t xml:space="preserve">10.1186/s41073-019-0064-8</t>
        </is>
      </c>
      <c r="D12" s="4" t="inlineStr">
        <is>
          <t xml:space="preserve">Baethge C, Goldbeck-Wood S, Mertens S. SANRA—a scale for the quality assessment of narrative review articles. Res Integr Peer Rev. 2019;4:5. doi:10.1186/s41073-019-0064-8.</t>
        </is>
      </c>
      <c r="E12" s="4" t="inlineStr">
        <is>
          <t xml:space="preserve">https://doi.org/10.1186/s41073-019-0064-8</t>
        </is>
      </c>
    </row>
    <row r="13" ht="112" customHeight="1">
      <c r="A13" s="5">
        <v>9</v>
      </c>
      <c r="B13" s="4" t="inlineStr">
        <is>
          <t xml:space="preserve">kocaballi</t>
        </is>
      </c>
      <c r="C13" s="4" t="inlineStr">
        <is>
          <t xml:space="preserve">10.2196/15823</t>
        </is>
      </c>
      <c r="D13" s="4" t="inlineStr">
        <is>
          <t xml:space="preserve">Kocaballi AB, Quiroz JC, Rezazadegan D, et al. Responses of conversational agents to health and lifestyle prompts: investigation of appropriateness and presentation structures. J Med Internet Res. 2020;22(2):e15823. doi:10.2196/15823.</t>
        </is>
      </c>
      <c r="E13" s="4" t="inlineStr">
        <is>
          <t xml:space="preserve">https://doi.org/10.2196/15823</t>
        </is>
      </c>
    </row>
    <row r="14" ht="112" customHeight="1">
      <c r="A14" s="5">
        <v>10</v>
      </c>
      <c r="B14" s="4" t="inlineStr">
        <is>
          <t xml:space="preserve">ferrand</t>
        </is>
      </c>
      <c r="C14" s="4" t="inlineStr">
        <is>
          <t xml:space="preserve">10.2196/19018</t>
        </is>
      </c>
      <c r="D14" s="4" t="inlineStr">
        <is>
          <t xml:space="preserve">Ferrand J, Hockensmith R, Houghton RF, Walsh-Buhi ER. Evaluating smart assistant responses for accuracy and misinformation regarding human papillomavirus vaccination: content analysis study. J Med Internet Res. 2020;22(8):e19018. doi:10.2196/19018.</t>
        </is>
      </c>
      <c r="E14" s="4" t="inlineStr">
        <is>
          <t xml:space="preserve">https://doi.org/10.2196/19018</t>
        </is>
      </c>
    </row>
    <row r="15" ht="86" customHeight="1">
      <c r="A15" s="5">
        <v>11</v>
      </c>
      <c r="B15" s="4" t="inlineStr">
        <is>
          <t xml:space="preserve">maples</t>
        </is>
      </c>
      <c r="C15" s="4" t="inlineStr">
        <is>
          <t xml:space="preserve">10.1038/s44184-023-00047-6</t>
        </is>
      </c>
      <c r="D15" s="4" t="inlineStr">
        <is>
          <t xml:space="preserve">Maples B, Cerit M, Vishwanath A, Pea R. Loneliness and suicide mitigation for students using GPT3-enabled chatbots. npj Ment Health Res. 2024;3:4. doi:10.1038/s44184-023-00047-6.</t>
        </is>
      </c>
      <c r="E15" s="4" t="inlineStr">
        <is>
          <t xml:space="preserve">https://doi.org/10.1038/s44184-023-00047-6</t>
        </is>
      </c>
    </row>
    <row r="16" ht="86" customHeight="1">
      <c r="A16" s="5">
        <v>12</v>
      </c>
      <c r="B16" s="4" t="inlineStr">
        <is>
          <t xml:space="preserve">siddals</t>
        </is>
      </c>
      <c r="C16" s="4" t="inlineStr">
        <is>
          <t xml:space="preserve">10.1038/s44184-024-00097-4</t>
        </is>
      </c>
      <c r="D16" s="4" t="inlineStr">
        <is>
          <t xml:space="preserve">Siddals S, Torous J, Coxon A. “It happened to be the perfect thing”: experiences of generative AI chatbots for mental health. npj Ment Health Res. 2024;3:48. doi:10.1038/s44184-024-00097-4.</t>
        </is>
      </c>
      <c r="E16" s="4" t="inlineStr">
        <is>
          <t xml:space="preserve">https://doi.org/10.1038/s44184-024-00097-4</t>
        </is>
      </c>
    </row>
    <row r="17" ht="112" customHeight="1">
      <c r="A17" s="5">
        <v>13</v>
      </c>
      <c r="B17" s="4" t="inlineStr">
        <is>
          <t xml:space="preserve">bibault</t>
        </is>
      </c>
      <c r="C17" s="4" t="inlineStr">
        <is>
          <t xml:space="preserve">10.2196/15787</t>
        </is>
      </c>
      <c r="D17" s="4" t="inlineStr">
        <is>
          <t xml:space="preserve">Bibault JE, Chaix B, Guillemassé A, et al. A chatbot versus physicians to provide information for patients with breast cancer: blind, randomized controlled noninferiority trial. J Med Internet Res. 2019;21(11):e15787. doi:10.2196/15787.</t>
        </is>
      </c>
      <c r="E17" s="4" t="inlineStr">
        <is>
          <t xml:space="preserve">https://doi.org/10.2196/15787</t>
        </is>
      </c>
    </row>
    <row r="18" ht="99" customHeight="1">
      <c r="A18" s="5">
        <v>14</v>
      </c>
      <c r="B18" s="4" t="inlineStr">
        <is>
          <t xml:space="preserve">potts</t>
        </is>
      </c>
      <c r="C18" s="4" t="inlineStr">
        <is>
          <t xml:space="preserve">10.2196/43051</t>
        </is>
      </c>
      <c r="D18" s="4" t="inlineStr">
        <is>
          <t xml:space="preserve">Potts C, Lindström F, Bond R, et al. A multilingual digital mental health and well-being chatbot (ChatPal): pre-post multicenter intervention study. J Med Internet Res. 2023;25:e43051. doi:10.2196/43051.</t>
        </is>
      </c>
      <c r="E18" s="4" t="inlineStr">
        <is>
          <t xml:space="preserve">https://doi.org/10.2196/43051</t>
        </is>
      </c>
    </row>
    <row r="19" ht="112" customHeight="1">
      <c r="A19" s="5">
        <v>15</v>
      </c>
      <c r="B19" s="4" t="inlineStr">
        <is>
          <t xml:space="preserve">tielman</t>
        </is>
      </c>
      <c r="C19" s="4" t="inlineStr">
        <is>
          <t xml:space="preserve">10.1186/s12911-019-0796-x</t>
        </is>
      </c>
      <c r="D19" s="4" t="inlineStr">
        <is>
          <t xml:space="preserve">Tielman ML, Neerincx MA, Pagliari C, Rizzo A, Brinkman WP. Considering patient safety in autonomous e-mental health systems: detecting risk situations and referring patients back to human care. BMC Med Inform Decis Mak. 2019;19:47. doi:10.1186/s12911-019-0796-x.</t>
        </is>
      </c>
      <c r="E19" s="4" t="inlineStr">
        <is>
          <t xml:space="preserve">https://doi.org/10.1186/s12911-019-0796-x</t>
        </is>
      </c>
    </row>
    <row r="20" ht="99" customHeight="1">
      <c r="A20" s="5">
        <v>16</v>
      </c>
      <c r="B20" s="4" t="inlineStr">
        <is>
          <t xml:space="preserve">palanica</t>
        </is>
      </c>
      <c r="C20" s="4" t="inlineStr">
        <is>
          <t xml:space="preserve">10.2196/12887</t>
        </is>
      </c>
      <c r="D20" s="4" t="inlineStr">
        <is>
          <t xml:space="preserve">Palanica A, Flaschner P, Thommandram A, Li M, Fossat Y. Physicians’ perceptions of chatbots in health care: cross-sectional web-based survey. J Med Internet Res. 2019;21(4):e12887. doi:10.2196/12887.</t>
        </is>
      </c>
      <c r="E20" s="4" t="inlineStr">
        <is>
          <t xml:space="preserve">https://doi.org/10.2196/12887</t>
        </is>
      </c>
    </row>
    <row r="21" ht="99" customHeight="1">
      <c r="A21" s="5">
        <v>17</v>
      </c>
      <c r="B21" s="4" t="inlineStr">
        <is>
          <t xml:space="preserve">nadarzynski</t>
        </is>
      </c>
      <c r="C21" s="4" t="inlineStr">
        <is>
          <t xml:space="preserve">10.1177/2055207619871808</t>
        </is>
      </c>
      <c r="D21" s="4" t="inlineStr">
        <is>
          <t xml:space="preserve">Nadarzynski T, Miles O, Cowie A, Ridge D. Acceptability of artificial intelligence-led chatbot services in healthcare: a mixed-methods study. Digit Health. 2019;5:2055207619871808. doi:10.1177/2055207619871808.</t>
        </is>
      </c>
      <c r="E21" s="4" t="inlineStr">
        <is>
          <t xml:space="preserve">https://doi.org/10.1177/2055207619871808</t>
        </is>
      </c>
    </row>
    <row r="22" ht="99" customHeight="1">
      <c r="A22" s="5">
        <v>18</v>
      </c>
      <c r="B22" s="4" t="inlineStr">
        <is>
          <t xml:space="preserve">koman</t>
        </is>
      </c>
      <c r="C22" s="4" t="inlineStr">
        <is>
          <t xml:space="preserve">10.2196/15185</t>
        </is>
      </c>
      <c r="D22" s="4" t="inlineStr">
        <is>
          <t xml:space="preserve">Koman J, Fauvelle K, Schuck S, Texier N, Mebarki A. Physicians’ perceptions of the use of a chatbot for information seeking: qualitative study. J Med Internet Res. 2020;22(11):e15185. doi:10.2196/15185.</t>
        </is>
      </c>
      <c r="E22" s="4" t="inlineStr">
        <is>
          <t xml:space="preserve">https://doi.org/10.2196/15185</t>
        </is>
      </c>
    </row>
    <row r="23" ht="99" customHeight="1">
      <c r="A23" s="5">
        <v>19</v>
      </c>
      <c r="B23" s="4" t="inlineStr">
        <is>
          <t xml:space="preserve">sweeney</t>
        </is>
      </c>
      <c r="C23" s="4" t="inlineStr">
        <is>
          <t xml:space="preserve">10.1145/3453175</t>
        </is>
      </c>
      <c r="D23" s="4" t="inlineStr">
        <is>
          <t xml:space="preserve">Sweeney C, Potts C, Ennis E, et al. Can chatbots help support a person's mental health? Perceptions and views from mental healthcare professionals and experts. ACM Trans Comput Healthc. 2021;2(3):1–15. doi:10.1145/3453175.</t>
        </is>
      </c>
      <c r="E23" s="4" t="inlineStr">
        <is>
          <t xml:space="preserve">https://doi.org/10.1145/3453175</t>
        </is>
      </c>
    </row>
    <row r="24" ht="99" customHeight="1">
      <c r="A24" s="5">
        <v>20</v>
      </c>
      <c r="B24" s="4" t="inlineStr">
        <is>
          <t xml:space="preserve">griffin</t>
        </is>
      </c>
      <c r="C24" s="4" t="inlineStr">
        <is>
          <t xml:space="preserve">10.1093/jamiaopen/ooab021</t>
        </is>
      </c>
      <c r="D24" s="4" t="inlineStr">
        <is>
          <t xml:space="preserve">Griffin AC, Xing Z, Mikles SP, et al. Information needs and perceptions of chatbots for hypertension medication self-management: a mixed methods study. JAMIA Open. 2021;4(2):ooab021. doi:10.1093/jamiaopen/ooab021.</t>
        </is>
      </c>
      <c r="E24" s="4" t="inlineStr">
        <is>
          <t xml:space="preserve">https://doi.org/10.1093/jamiaopen/ooab021</t>
        </is>
      </c>
    </row>
    <row r="25" ht="112" customHeight="1">
      <c r="A25" s="5">
        <v>21</v>
      </c>
      <c r="B25" s="4" t="inlineStr">
        <is>
          <t xml:space="preserve">he</t>
        </is>
      </c>
      <c r="C25" s="4" t="inlineStr">
        <is>
          <t xml:space="preserve">10.2196/40719</t>
        </is>
      </c>
      <c r="D25" s="4" t="inlineStr">
        <is>
          <t xml:space="preserve">He Y, Yang L, Zhu X, et al. Mental health chatbot for young adults with depressive symptoms during the COVID-19 pandemic: single-blind, three-arm randomized controlled trial. J Med Internet Res. 2022;24(11):e40719. doi:10.2196/40719.</t>
        </is>
      </c>
      <c r="E25" s="4" t="inlineStr">
        <is>
          <t xml:space="preserve">https://doi.org/10.2196/40719</t>
        </is>
      </c>
    </row>
    <row r="26" ht="86" customHeight="1">
      <c r="A26" s="5">
        <v>22</v>
      </c>
      <c r="B26" s="4" t="inlineStr">
        <is>
          <t xml:space="preserve">fitz</t>
        </is>
      </c>
      <c r="C26" s="4" t="inlineStr">
        <is>
          <t xml:space="preserve">10.1002/eat.23662</t>
        </is>
      </c>
      <c r="D26" s="4" t="inlineStr">
        <is>
          <t xml:space="preserve">Fitzsimmons-Craft EE, Chan WW, Smith AC, et al. Effectiveness of a chatbot for eating disorders prevention: a randomized clinical trial. Int J Eat Disord. 2022;55(3):343-353. doi:10.1002/eat.23662.</t>
        </is>
      </c>
      <c r="E26" s="4" t="inlineStr">
        <is>
          <t xml:space="preserve">https://doi.org/10.1002/eat.23662</t>
        </is>
      </c>
    </row>
    <row r="27" ht="112" customHeight="1">
      <c r="A27" s="5">
        <v>23</v>
      </c>
      <c r="B27" s="4" t="inlineStr">
        <is>
          <t xml:space="preserve">kleinau</t>
        </is>
      </c>
      <c r="C27" s="4" t="inlineStr">
        <is>
          <t xml:space="preserve">10.1371/journal.pone.0303370</t>
        </is>
      </c>
      <c r="D27" s="4" t="inlineStr">
        <is>
          <t xml:space="preserve">Kleinau E, Lamba T, Jaskiewicz W, et al. Effectiveness of a chatbot in improving the mental wellbeing of health workers in Malawi during the COVID-19 pandemic: a randomized controlled trial. PLoS One. 2024;19(5):e0303370. doi:10.1371/journal.pone.0303370.</t>
        </is>
      </c>
      <c r="E27" s="4" t="inlineStr">
        <is>
          <t xml:space="preserve">https://doi.org/10.1371/journal.pone.0303370</t>
        </is>
      </c>
    </row>
    <row r="28" ht="125" customHeight="1">
      <c r="A28" s="5">
        <v>24</v>
      </c>
      <c r="B28" s="4" t="inlineStr">
        <is>
          <t xml:space="preserve">ulrich</t>
        </is>
      </c>
      <c r="C28" s="4" t="inlineStr">
        <is>
          <t xml:space="preserve">10.2196/50132</t>
        </is>
      </c>
      <c r="D28" s="4" t="inlineStr">
        <is>
          <t xml:space="preserve">Ulrich S, Gantenbein AR, Zuber V, von Wyl A, Kowatsch T, Künzli H. Development and evaluation of a smartphone-based chatbot coach to facilitate a balanced lifestyle in individuals with headaches: randomized controlled trial. J Med Internet Res. 2024;26:e50132. doi:10.2196/50132.</t>
        </is>
      </c>
      <c r="E28" s="4" t="inlineStr">
        <is>
          <t xml:space="preserve">https://doi.org/10.2196/50132</t>
        </is>
      </c>
    </row>
    <row r="29" ht="99" customHeight="1">
      <c r="A29" s="5">
        <v>25</v>
      </c>
      <c r="B29" s="4" t="inlineStr">
        <is>
          <t xml:space="preserve">prochaska</t>
        </is>
      </c>
      <c r="C29" s="4" t="inlineStr">
        <is>
          <t xml:space="preserve">10.2196/24850</t>
        </is>
      </c>
      <c r="D29" s="4" t="inlineStr">
        <is>
          <t xml:space="preserve">Prochaska JJ, Vogel EA, Chieng A, et al. A therapeutic relational agent for reducing problematic substance use (Woebot): development and usability study. J Med Internet Res. 2021;23(3):e24850. doi:10.2196/24850.</t>
        </is>
      </c>
      <c r="E29" s="4" t="inlineStr">
        <is>
          <t xml:space="preserve">https://doi.org/10.2196/24850</t>
        </is>
      </c>
    </row>
    <row r="30" ht="99" customHeight="1">
      <c r="A30" s="5">
        <v>26</v>
      </c>
      <c r="B30" s="4" t="inlineStr">
        <is>
          <t xml:space="preserve">judson</t>
        </is>
      </c>
      <c r="C30" s="4" t="inlineStr">
        <is>
          <t xml:space="preserve">10.1093/jamia/ocaa130</t>
        </is>
      </c>
      <c r="D30" s="4" t="inlineStr">
        <is>
          <t xml:space="preserve">Judson TJ, Odisho AY, Young JJ, et al. Implementation of a digital chatbot to screen health system employees during the COVID-19 pandemic. J Am Med Inform Assoc. 2020;27(9):1450-1455. doi:10.1093/jamia/ocaa130.</t>
        </is>
      </c>
      <c r="E30" s="4" t="inlineStr">
        <is>
          <t xml:space="preserve">https://doi.org/10.1093/jamia/ocaa130</t>
        </is>
      </c>
    </row>
    <row r="31" ht="86" customHeight="1">
      <c r="A31" s="5">
        <v>27</v>
      </c>
      <c r="B31" s="4" t="inlineStr">
        <is>
          <t xml:space="preserve">therabot</t>
        </is>
      </c>
      <c r="C31" s="4" t="inlineStr">
        <is>
          <t xml:space="preserve">10.1056/AIoa2400802</t>
        </is>
      </c>
      <c r="D31" s="4" t="inlineStr">
        <is>
          <t xml:space="preserve">Heinz MV, Mackin DM, Trudeau BM, et al. Randomized trial of a generative AI chatbot for mental health treatment. NEJM AI. 2025;2(4):AIoa2400802. doi:10.1056/AIoa2400802.</t>
        </is>
      </c>
      <c r="E31" s="4" t="inlineStr">
        <is>
          <t xml:space="preserve">https://doi.org/10.1056/AIoa2400802</t>
        </is>
      </c>
    </row>
    <row r="32" ht="112" customHeight="1">
      <c r="A32" s="5">
        <v>28</v>
      </c>
      <c r="B32" s="4" t="inlineStr">
        <is>
          <t xml:space="preserve">shoshani</t>
        </is>
      </c>
      <c r="C32" s="4" t="inlineStr">
        <is>
          <t xml:space="preserve">10.1001/jamanetworkopen.2026.6713</t>
        </is>
      </c>
      <c r="D32" s="4" t="inlineStr">
        <is>
          <t xml:space="preserve">Shoshani A, Gurfinkel B, Kor A, et al. Efficacy of a conversational AI agent for psychiatric symptoms and digital therapeutic alliance: a randomized clinical trial. JAMA Netw Open. 2026;9(4):e266713. doi:10.1001/jamanetworkopen.2026.6713.</t>
        </is>
      </c>
      <c r="E32" s="4" t="inlineStr">
        <is>
          <t xml:space="preserve">https://doi.org/10.1001/jamanetworkopen.2026.6713</t>
        </is>
      </c>
    </row>
    <row r="33" ht="112" customHeight="1">
      <c r="A33" s="5">
        <v>29</v>
      </c>
      <c r="B33" s="4" t="inlineStr">
        <is>
          <t xml:space="preserve">liao</t>
        </is>
      </c>
      <c r="C33" s="4" t="inlineStr">
        <is>
          <t xml:space="preserve">10.2196/97773</t>
        </is>
      </c>
      <c r="D33" s="4" t="inlineStr">
        <is>
          <t xml:space="preserve">Liao Y, Madeo A, Allen CG, et al. The Impact of Chatbot Type and Normative Messaging on Chatbot Usage Intention Based on the Health Technology Acceptance Model: Randomized Controlled Trial. J Med Internet Res. 2026;28:e97773. doi:10.2196/97773.</t>
        </is>
      </c>
      <c r="E33" s="4" t="inlineStr">
        <is>
          <t xml:space="preserve">https://doi.org/10.2196/97773</t>
        </is>
      </c>
    </row>
    <row r="34" ht="138" customHeight="1">
      <c r="A34" s="5">
        <v>30</v>
      </c>
      <c r="B34" s="4" t="inlineStr">
        <is>
          <t xml:space="preserve">chula</t>
        </is>
      </c>
      <c r="C34" s="4" t="inlineStr">
        <is>
          <t xml:space="preserve">10.2196/86149</t>
        </is>
      </c>
      <c r="D34" s="4" t="inlineStr">
        <is>
          <t xml:space="preserve">Sompornpailin N, Susiriwatananont T, Sriuranpong V, et al. Feasibility and Preliminary Effectiveness of the ChulaCancer Mobile Chatbot for Supportive Care of Patients With Breast or Colorectal Cancer Receiving Chemotherapy: Pilot Randomized Controlled Trial. JMIR Form Res. 2026;10:e86149. doi:10.2196/86149.</t>
        </is>
      </c>
      <c r="E34" s="4" t="inlineStr">
        <is>
          <t xml:space="preserve">https://doi.org/10.2196/86149</t>
        </is>
      </c>
    </row>
  </sheetData>
  <autoFilter ref="A4:E34"/>
  <mergeCells count="2">
    <mergeCell ref="A1:E1"/>
    <mergeCell ref="A2:E2"/>
  </mergeCells>
  <pageMargins left="0.3" right="0.3" top="0.5" bottom="0.5" header="0.2" footer="0.2"/>
</worksheet>
</file>

<file path=xl/worksheets/sheet13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sheetFormatPr defaultRowHeight="18"/>
  <cols>
    <col min="1" max="1" width="36" customWidth="1"/>
    <col min="2" max="2" width="12" customWidth="1"/>
    <col min="3" max="3" width="16" customWidth="1"/>
    <col min="4" max="4" width="16" customWidth="1"/>
    <col min="5" max="5" width="16" customWidth="1"/>
    <col min="6" max="6" width="16" customWidth="1"/>
    <col min="7" max="7" width="42" customWidth="1"/>
    <col min="8" max="8" width="16" customWidth="1"/>
    <col min="9" max="9" width="16" customWidth="1"/>
    <col min="10" max="10" width="16" customWidth="1"/>
    <col min="11" max="11" width="16" customWidth="1"/>
  </cols>
  <sheetData>
    <row r="1" ht="30" customHeight="1">
      <c r="A1" s="1" t="inlineStr">
        <is>
          <t xml:space="preserve">Sensitivity</t>
        </is>
      </c>
    </row>
    <row r="2" ht="34" customHeight="1">
      <c r="A2" s="2" t="inlineStr">
        <is>
          <t xml:space="preserve">Source: 04_outputs/sensitivity_results.csv. Report-level evidence; source-access limits and analytic roles are retained.</t>
        </is>
      </c>
    </row>
    <row r="4" ht="44" customHeight="1">
      <c r="A4" s="3" t="inlineStr">
        <is>
          <t xml:space="preserve">scenario</t>
        </is>
      </c>
      <c r="B4" s="3" t="inlineStr">
        <is>
          <t xml:space="preserve">n</t>
        </is>
      </c>
      <c r="C4" s="3" t="inlineStr">
        <is>
          <t xml:space="preserve">user_n</t>
        </is>
      </c>
      <c r="D4" s="3" t="inlineStr">
        <is>
          <t xml:space="preserve">clinical_n</t>
        </is>
      </c>
      <c r="E4" s="3" t="inlineStr">
        <is>
          <t xml:space="preserve">safety_related_n</t>
        </is>
      </c>
      <c r="F4" s="3" t="inlineStr">
        <is>
          <t xml:space="preserve">operations_n</t>
        </is>
      </c>
      <c r="G4" s="3" t="inlineStr">
        <is>
          <t xml:space="preserve">interpretation</t>
        </is>
      </c>
      <c r="H4" s="3" t="inlineStr">
        <is>
          <t xml:space="preserve">user_pct</t>
        </is>
      </c>
      <c r="I4" s="3" t="inlineStr">
        <is>
          <t xml:space="preserve">clinical_pct</t>
        </is>
      </c>
      <c r="J4" s="3" t="inlineStr">
        <is>
          <t xml:space="preserve">safety_related_pct</t>
        </is>
      </c>
      <c r="K4" s="3" t="inlineStr">
        <is>
          <t xml:space="preserve">operations_pct</t>
        </is>
      </c>
    </row>
    <row r="5" ht="34" customHeight="1">
      <c r="A5" s="4" t="inlineStr">
        <is>
          <t xml:space="preserve">Legacy24 (superseded; not a final result)</t>
        </is>
      </c>
      <c r="B5" s="5">
        <v>24</v>
      </c>
      <c r="C5" s="5">
        <v>22</v>
      </c>
      <c r="D5" s="5">
        <v>11</v>
      </c>
      <c r="E5" s="5">
        <v>4</v>
      </c>
      <c r="F5" s="5">
        <v>2</v>
      </c>
      <c r="G5" s="4" t="inlineStr">
        <is>
          <t xml:space="preserve">Old misclassification retained for traceability only</t>
        </is>
      </c>
      <c r="H5" s="5">
        <v>91.7</v>
      </c>
      <c r="I5" s="5">
        <v>45.8</v>
      </c>
      <c r="J5" s="5">
        <v>16.7</v>
      </c>
      <c r="K5" s="5">
        <v>8.3</v>
      </c>
    </row>
    <row r="6" ht="34" customHeight="1">
      <c r="A6" s="4" t="inlineStr">
        <is>
          <t xml:space="preserve">Corrected24 including generic benchmarks</t>
        </is>
      </c>
      <c r="B6" s="5">
        <v>24</v>
      </c>
      <c r="C6" s="5">
        <v>22</v>
      </c>
      <c r="D6" s="5">
        <v>11</v>
      </c>
      <c r="E6" s="5">
        <v>3</v>
      </c>
      <c r="F6" s="5">
        <v>1</v>
      </c>
      <c r="G6" s="4" t="inlineStr">
        <is>
          <t xml:space="preserve">Report counts only; not pooled effects or safety certification</t>
        </is>
      </c>
      <c r="H6" s="5">
        <v>91.7</v>
      </c>
      <c r="I6" s="5">
        <v>45.8</v>
      </c>
      <c r="J6" s="5">
        <v>12.5</v>
      </c>
      <c r="K6" s="5">
        <v>4.2</v>
      </c>
    </row>
    <row r="7" ht="34" customHeight="1">
      <c r="A7" s="4" t="inlineStr">
        <is>
          <t xml:space="preserve">Healthcare-specific22</t>
        </is>
      </c>
      <c r="B7" s="5">
        <v>22</v>
      </c>
      <c r="C7" s="5">
        <v>22</v>
      </c>
      <c r="D7" s="5">
        <v>11</v>
      </c>
      <c r="E7" s="5">
        <v>1</v>
      </c>
      <c r="F7" s="5">
        <v>1</v>
      </c>
      <c r="G7" s="4" t="inlineStr">
        <is>
          <t xml:space="preserve">Report counts only; not pooled effects or safety certification</t>
        </is>
      </c>
      <c r="H7" s="5">
        <v>100</v>
      </c>
      <c r="I7" s="5">
        <v>50</v>
      </c>
      <c r="J7" s="5">
        <v>4.5</v>
      </c>
      <c r="K7" s="5">
        <v>4.5</v>
      </c>
    </row>
    <row r="8" ht="34" customHeight="1">
      <c r="A8" s="4" t="inlineStr">
        <is>
          <t xml:space="preserve">Core excluding inherited Lower labels</t>
        </is>
      </c>
      <c r="B8" s="5">
        <v>17</v>
      </c>
      <c r="C8" s="5">
        <v>17</v>
      </c>
      <c r="D8" s="5">
        <v>6</v>
      </c>
      <c r="E8" s="5">
        <v>1</v>
      </c>
      <c r="F8" s="5">
        <v>1</v>
      </c>
      <c r="G8" s="4" t="inlineStr">
        <is>
          <t xml:space="preserve">Report counts only; not pooled effects or safety certification</t>
        </is>
      </c>
      <c r="H8" s="5">
        <v>100</v>
      </c>
      <c r="I8" s="5">
        <v>35.3</v>
      </c>
      <c r="J8" s="5">
        <v>5.9</v>
      </c>
      <c r="K8" s="5">
        <v>5.9</v>
      </c>
    </row>
    <row r="9" ht="34" customHeight="1">
      <c r="A9" s="4" t="inlineStr">
        <is>
          <t xml:space="preserve">Core excluding referral-intention proxy</t>
        </is>
      </c>
      <c r="B9" s="5">
        <v>21</v>
      </c>
      <c r="C9" s="5">
        <v>21</v>
      </c>
      <c r="D9" s="5">
        <v>11</v>
      </c>
      <c r="E9" s="5">
        <v>0</v>
      </c>
      <c r="F9" s="5">
        <v>1</v>
      </c>
      <c r="G9" s="4" t="inlineStr">
        <is>
          <t xml:space="preserve">Report counts only; not pooled effects or safety certification</t>
        </is>
      </c>
      <c r="H9" s="5">
        <v>100</v>
      </c>
      <c r="I9" s="5">
        <v>52.4</v>
      </c>
      <c r="J9" s="5">
        <v>0</v>
      </c>
      <c r="K9" s="5">
        <v>4.8</v>
      </c>
    </row>
    <row r="10" ht="34" customHeight="1">
      <c r="A10" s="4" t="inlineStr">
        <is>
          <t xml:space="preserve">Expanded26 including consumer context</t>
        </is>
      </c>
      <c r="B10" s="5">
        <v>26</v>
      </c>
      <c r="C10" s="5">
        <v>24</v>
      </c>
      <c r="D10" s="5">
        <v>11</v>
      </c>
      <c r="E10" s="5">
        <v>3</v>
      </c>
      <c r="F10" s="5">
        <v>1</v>
      </c>
      <c r="G10" s="4" t="inlineStr">
        <is>
          <t xml:space="preserve">Consumer perceived benefit is not coded as clinical efficacy</t>
        </is>
      </c>
      <c r="H10" s="5">
        <v>92.3</v>
      </c>
      <c r="I10" s="5">
        <v>42.3</v>
      </c>
      <c r="J10" s="5">
        <v>11.5</v>
      </c>
      <c r="K10" s="5">
        <v>3.8</v>
      </c>
    </row>
  </sheetData>
  <autoFilter ref="A4:K10"/>
  <mergeCells count="2">
    <mergeCell ref="A1:K1"/>
    <mergeCell ref="A2:K2"/>
  </mergeCells>
  <pageMargins left="0.3" right="0.3" top="0.5" bottom="0.5" header="0.2" footer="0.2"/>
</worksheet>
</file>

<file path=xl/worksheets/sheet14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sheetFormatPr defaultRowHeight="18"/>
  <cols>
    <col min="1" max="1" width="36" customWidth="1"/>
    <col min="2" max="2" width="12" customWidth="1"/>
    <col min="3" max="3" width="3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</cols>
  <sheetData>
    <row r="1" ht="30" customHeight="1">
      <c r="A1" s="1" t="inlineStr">
        <is>
          <t xml:space="preserve">Leave one out</t>
        </is>
      </c>
    </row>
    <row r="2" ht="34" customHeight="1">
      <c r="A2" s="2" t="inlineStr">
        <is>
          <t xml:space="preserve">Source: 04_outputs/leave_one_out.csv. Report-level evidence; source-access limits and analytic roles are retained.</t>
        </is>
      </c>
    </row>
    <row r="4" ht="44" customHeight="1">
      <c r="A4" s="3" t="inlineStr">
        <is>
          <t xml:space="preserve">removed_id</t>
        </is>
      </c>
      <c r="B4" s="3" t="inlineStr">
        <is>
          <t xml:space="preserve">n</t>
        </is>
      </c>
      <c r="C4" s="3" t="inlineStr">
        <is>
          <t xml:space="preserve">mental</t>
        </is>
      </c>
      <c r="D4" s="3" t="inlineStr">
        <is>
          <t xml:space="preserve">comparative</t>
        </is>
      </c>
      <c r="E4" s="3" t="inlineStr">
        <is>
          <t xml:space="preserve">user_outcome</t>
        </is>
      </c>
      <c r="F4" s="3" t="inlineStr">
        <is>
          <t xml:space="preserve">clinical_outcome</t>
        </is>
      </c>
      <c r="G4" s="3" t="inlineStr">
        <is>
          <t xml:space="preserve">safety_focused_investigation</t>
        </is>
      </c>
      <c r="H4" s="3" t="inlineStr">
        <is>
          <t xml:space="preserve">health_system_operations</t>
        </is>
      </c>
      <c r="I4" s="3" t="inlineStr">
        <is>
          <t xml:space="preserve">patient_productivity</t>
        </is>
      </c>
      <c r="J4" s="3" t="inlineStr">
        <is>
          <t xml:space="preserve">mental_pct</t>
        </is>
      </c>
      <c r="K4" s="3" t="inlineStr">
        <is>
          <t xml:space="preserve">comparative_pct</t>
        </is>
      </c>
      <c r="L4" s="3" t="inlineStr">
        <is>
          <t xml:space="preserve">user_outcome_pct</t>
        </is>
      </c>
      <c r="M4" s="3" t="inlineStr">
        <is>
          <t xml:space="preserve">clinical_outcome_pct</t>
        </is>
      </c>
      <c r="N4" s="3" t="inlineStr">
        <is>
          <t xml:space="preserve">safety_focused_investigation_pct</t>
        </is>
      </c>
      <c r="O4" s="3" t="inlineStr">
        <is>
          <t xml:space="preserve">health_system_operations_pct</t>
        </is>
      </c>
      <c r="P4" s="3" t="inlineStr">
        <is>
          <t xml:space="preserve">patient_productivity_pct</t>
        </is>
      </c>
    </row>
    <row r="5" ht="32" customHeight="1">
      <c r="A5" s="4" t="inlineStr">
        <is>
          <t xml:space="preserve">S01</t>
        </is>
      </c>
      <c r="B5" s="5">
        <v>21</v>
      </c>
      <c r="C5" s="4" t="inlineStr">
        <is>
          <t xml:space="preserve">13</t>
        </is>
      </c>
      <c r="D5" s="5">
        <v>7</v>
      </c>
      <c r="E5" s="5">
        <v>21</v>
      </c>
      <c r="F5" s="5">
        <v>11</v>
      </c>
      <c r="G5" s="5">
        <v>1</v>
      </c>
      <c r="H5" s="5">
        <v>1</v>
      </c>
      <c r="I5" s="5">
        <v>1</v>
      </c>
      <c r="J5" s="5">
        <v>61.9</v>
      </c>
      <c r="K5" s="5">
        <v>33.3</v>
      </c>
      <c r="L5" s="5">
        <v>100</v>
      </c>
      <c r="M5" s="5">
        <v>52.4</v>
      </c>
      <c r="N5" s="5">
        <v>4.8</v>
      </c>
      <c r="O5" s="5">
        <v>4.8</v>
      </c>
      <c r="P5" s="5">
        <v>4.8</v>
      </c>
    </row>
    <row r="6" ht="32" customHeight="1">
      <c r="A6" s="4" t="inlineStr">
        <is>
          <t xml:space="preserve">S02</t>
        </is>
      </c>
      <c r="B6" s="5">
        <v>21</v>
      </c>
      <c r="C6" s="4" t="inlineStr">
        <is>
          <t xml:space="preserve">13</t>
        </is>
      </c>
      <c r="D6" s="5">
        <v>7</v>
      </c>
      <c r="E6" s="5">
        <v>21</v>
      </c>
      <c r="F6" s="5">
        <v>11</v>
      </c>
      <c r="G6" s="5">
        <v>1</v>
      </c>
      <c r="H6" s="5">
        <v>1</v>
      </c>
      <c r="I6" s="5">
        <v>1</v>
      </c>
      <c r="J6" s="5">
        <v>61.9</v>
      </c>
      <c r="K6" s="5">
        <v>33.3</v>
      </c>
      <c r="L6" s="5">
        <v>100</v>
      </c>
      <c r="M6" s="5">
        <v>52.4</v>
      </c>
      <c r="N6" s="5">
        <v>4.8</v>
      </c>
      <c r="O6" s="5">
        <v>4.8</v>
      </c>
      <c r="P6" s="5">
        <v>4.8</v>
      </c>
    </row>
    <row r="7" ht="32" customHeight="1">
      <c r="A7" s="4" t="inlineStr">
        <is>
          <t xml:space="preserve">S03</t>
        </is>
      </c>
      <c r="B7" s="5">
        <v>21</v>
      </c>
      <c r="C7" s="4" t="inlineStr">
        <is>
          <t xml:space="preserve">12</t>
        </is>
      </c>
      <c r="D7" s="5">
        <v>6</v>
      </c>
      <c r="E7" s="5">
        <v>21</v>
      </c>
      <c r="F7" s="5">
        <v>10</v>
      </c>
      <c r="G7" s="5">
        <v>1</v>
      </c>
      <c r="H7" s="5">
        <v>1</v>
      </c>
      <c r="I7" s="5">
        <v>1</v>
      </c>
      <c r="J7" s="5">
        <v>57.1</v>
      </c>
      <c r="K7" s="5">
        <v>28.6</v>
      </c>
      <c r="L7" s="5">
        <v>100</v>
      </c>
      <c r="M7" s="5">
        <v>47.6</v>
      </c>
      <c r="N7" s="5">
        <v>4.8</v>
      </c>
      <c r="O7" s="5">
        <v>4.8</v>
      </c>
      <c r="P7" s="5">
        <v>4.8</v>
      </c>
    </row>
    <row r="8" ht="32" customHeight="1">
      <c r="A8" s="4" t="inlineStr">
        <is>
          <t xml:space="preserve">S04</t>
        </is>
      </c>
      <c r="B8" s="5">
        <v>21</v>
      </c>
      <c r="C8" s="4" t="inlineStr">
        <is>
          <t xml:space="preserve">12</t>
        </is>
      </c>
      <c r="D8" s="5">
        <v>7</v>
      </c>
      <c r="E8" s="5">
        <v>21</v>
      </c>
      <c r="F8" s="5">
        <v>11</v>
      </c>
      <c r="G8" s="5">
        <v>0</v>
      </c>
      <c r="H8" s="5">
        <v>1</v>
      </c>
      <c r="I8" s="5">
        <v>1</v>
      </c>
      <c r="J8" s="5">
        <v>57.1</v>
      </c>
      <c r="K8" s="5">
        <v>33.3</v>
      </c>
      <c r="L8" s="5">
        <v>100</v>
      </c>
      <c r="M8" s="5">
        <v>52.4</v>
      </c>
      <c r="N8" s="5">
        <v>0</v>
      </c>
      <c r="O8" s="5">
        <v>4.8</v>
      </c>
      <c r="P8" s="5">
        <v>4.8</v>
      </c>
    </row>
    <row r="9" ht="32" customHeight="1">
      <c r="A9" s="4" t="inlineStr">
        <is>
          <t xml:space="preserve">S05</t>
        </is>
      </c>
      <c r="B9" s="5">
        <v>21</v>
      </c>
      <c r="C9" s="4" t="inlineStr">
        <is>
          <t xml:space="preserve">13</t>
        </is>
      </c>
      <c r="D9" s="5">
        <v>6</v>
      </c>
      <c r="E9" s="5">
        <v>21</v>
      </c>
      <c r="F9" s="5">
        <v>11</v>
      </c>
      <c r="G9" s="5">
        <v>1</v>
      </c>
      <c r="H9" s="5">
        <v>1</v>
      </c>
      <c r="I9" s="5">
        <v>1</v>
      </c>
      <c r="J9" s="5">
        <v>61.9</v>
      </c>
      <c r="K9" s="5">
        <v>28.6</v>
      </c>
      <c r="L9" s="5">
        <v>100</v>
      </c>
      <c r="M9" s="5">
        <v>52.4</v>
      </c>
      <c r="N9" s="5">
        <v>4.8</v>
      </c>
      <c r="O9" s="5">
        <v>4.8</v>
      </c>
      <c r="P9" s="5">
        <v>4.8</v>
      </c>
    </row>
    <row r="10" ht="32" customHeight="1">
      <c r="A10" s="4" t="inlineStr">
        <is>
          <t xml:space="preserve">S08</t>
        </is>
      </c>
      <c r="B10" s="5">
        <v>21</v>
      </c>
      <c r="C10" s="4" t="inlineStr">
        <is>
          <t xml:space="preserve">13</t>
        </is>
      </c>
      <c r="D10" s="5">
        <v>7</v>
      </c>
      <c r="E10" s="5">
        <v>21</v>
      </c>
      <c r="F10" s="5">
        <v>11</v>
      </c>
      <c r="G10" s="5">
        <v>1</v>
      </c>
      <c r="H10" s="5">
        <v>1</v>
      </c>
      <c r="I10" s="5">
        <v>1</v>
      </c>
      <c r="J10" s="5">
        <v>61.9</v>
      </c>
      <c r="K10" s="5">
        <v>33.3</v>
      </c>
      <c r="L10" s="5">
        <v>100</v>
      </c>
      <c r="M10" s="5">
        <v>52.4</v>
      </c>
      <c r="N10" s="5">
        <v>4.8</v>
      </c>
      <c r="O10" s="5">
        <v>4.8</v>
      </c>
      <c r="P10" s="5">
        <v>4.8</v>
      </c>
    </row>
    <row r="11" ht="32" customHeight="1">
      <c r="A11" s="4" t="inlineStr">
        <is>
          <t xml:space="preserve">S09</t>
        </is>
      </c>
      <c r="B11" s="5">
        <v>21</v>
      </c>
      <c r="C11" s="4" t="inlineStr">
        <is>
          <t xml:space="preserve">12</t>
        </is>
      </c>
      <c r="D11" s="5">
        <v>7</v>
      </c>
      <c r="E11" s="5">
        <v>21</v>
      </c>
      <c r="F11" s="5">
        <v>10</v>
      </c>
      <c r="G11" s="5">
        <v>1</v>
      </c>
      <c r="H11" s="5">
        <v>1</v>
      </c>
      <c r="I11" s="5">
        <v>1</v>
      </c>
      <c r="J11" s="5">
        <v>57.1</v>
      </c>
      <c r="K11" s="5">
        <v>33.3</v>
      </c>
      <c r="L11" s="5">
        <v>100</v>
      </c>
      <c r="M11" s="5">
        <v>47.6</v>
      </c>
      <c r="N11" s="5">
        <v>4.8</v>
      </c>
      <c r="O11" s="5">
        <v>4.8</v>
      </c>
      <c r="P11" s="5">
        <v>4.8</v>
      </c>
    </row>
    <row r="12" ht="32" customHeight="1">
      <c r="A12" s="4" t="inlineStr">
        <is>
          <t xml:space="preserve">S10</t>
        </is>
      </c>
      <c r="B12" s="5">
        <v>21</v>
      </c>
      <c r="C12" s="4" t="inlineStr">
        <is>
          <t xml:space="preserve">12</t>
        </is>
      </c>
      <c r="D12" s="5">
        <v>7</v>
      </c>
      <c r="E12" s="5">
        <v>21</v>
      </c>
      <c r="F12" s="5">
        <v>11</v>
      </c>
      <c r="G12" s="5">
        <v>1</v>
      </c>
      <c r="H12" s="5">
        <v>1</v>
      </c>
      <c r="I12" s="5">
        <v>1</v>
      </c>
      <c r="J12" s="5">
        <v>57.1</v>
      </c>
      <c r="K12" s="5">
        <v>33.3</v>
      </c>
      <c r="L12" s="5">
        <v>100</v>
      </c>
      <c r="M12" s="5">
        <v>52.4</v>
      </c>
      <c r="N12" s="5">
        <v>4.8</v>
      </c>
      <c r="O12" s="5">
        <v>4.8</v>
      </c>
      <c r="P12" s="5">
        <v>4.8</v>
      </c>
    </row>
    <row r="13" ht="32" customHeight="1">
      <c r="A13" s="4" t="inlineStr">
        <is>
          <t xml:space="preserve">S11</t>
        </is>
      </c>
      <c r="B13" s="5">
        <v>21</v>
      </c>
      <c r="C13" s="4" t="inlineStr">
        <is>
          <t xml:space="preserve">13</t>
        </is>
      </c>
      <c r="D13" s="5">
        <v>7</v>
      </c>
      <c r="E13" s="5">
        <v>21</v>
      </c>
      <c r="F13" s="5">
        <v>11</v>
      </c>
      <c r="G13" s="5">
        <v>1</v>
      </c>
      <c r="H13" s="5">
        <v>0</v>
      </c>
      <c r="I13" s="5">
        <v>1</v>
      </c>
      <c r="J13" s="5">
        <v>61.9</v>
      </c>
      <c r="K13" s="5">
        <v>33.3</v>
      </c>
      <c r="L13" s="5">
        <v>100</v>
      </c>
      <c r="M13" s="5">
        <v>52.4</v>
      </c>
      <c r="N13" s="5">
        <v>4.8</v>
      </c>
      <c r="O13" s="5">
        <v>0</v>
      </c>
      <c r="P13" s="5">
        <v>4.8</v>
      </c>
    </row>
    <row r="14" ht="32" customHeight="1">
      <c r="A14" s="4" t="inlineStr">
        <is>
          <t xml:space="preserve">S12</t>
        </is>
      </c>
      <c r="B14" s="5">
        <v>21</v>
      </c>
      <c r="C14" s="4" t="inlineStr">
        <is>
          <t xml:space="preserve">12</t>
        </is>
      </c>
      <c r="D14" s="5">
        <v>7</v>
      </c>
      <c r="E14" s="5">
        <v>21</v>
      </c>
      <c r="F14" s="5">
        <v>10</v>
      </c>
      <c r="G14" s="5">
        <v>1</v>
      </c>
      <c r="H14" s="5">
        <v>1</v>
      </c>
      <c r="I14" s="5">
        <v>1</v>
      </c>
      <c r="J14" s="5">
        <v>57.1</v>
      </c>
      <c r="K14" s="5">
        <v>33.3</v>
      </c>
      <c r="L14" s="5">
        <v>100</v>
      </c>
      <c r="M14" s="5">
        <v>47.6</v>
      </c>
      <c r="N14" s="5">
        <v>4.8</v>
      </c>
      <c r="O14" s="5">
        <v>4.8</v>
      </c>
      <c r="P14" s="5">
        <v>4.8</v>
      </c>
    </row>
    <row r="15" ht="32" customHeight="1">
      <c r="A15" s="4" t="inlineStr">
        <is>
          <t xml:space="preserve">S13</t>
        </is>
      </c>
      <c r="B15" s="5">
        <v>21</v>
      </c>
      <c r="C15" s="4" t="inlineStr">
        <is>
          <t xml:space="preserve">13</t>
        </is>
      </c>
      <c r="D15" s="5">
        <v>7</v>
      </c>
      <c r="E15" s="5">
        <v>21</v>
      </c>
      <c r="F15" s="5">
        <v>11</v>
      </c>
      <c r="G15" s="5">
        <v>1</v>
      </c>
      <c r="H15" s="5">
        <v>1</v>
      </c>
      <c r="I15" s="5">
        <v>1</v>
      </c>
      <c r="J15" s="5">
        <v>61.9</v>
      </c>
      <c r="K15" s="5">
        <v>33.3</v>
      </c>
      <c r="L15" s="5">
        <v>100</v>
      </c>
      <c r="M15" s="5">
        <v>52.4</v>
      </c>
      <c r="N15" s="5">
        <v>4.8</v>
      </c>
      <c r="O15" s="5">
        <v>4.8</v>
      </c>
      <c r="P15" s="5">
        <v>4.8</v>
      </c>
    </row>
    <row r="16" ht="32" customHeight="1">
      <c r="A16" s="4" t="inlineStr">
        <is>
          <t xml:space="preserve">S14</t>
        </is>
      </c>
      <c r="B16" s="5">
        <v>21</v>
      </c>
      <c r="C16" s="4" t="inlineStr">
        <is>
          <t xml:space="preserve">12</t>
        </is>
      </c>
      <c r="D16" s="5">
        <v>7</v>
      </c>
      <c r="E16" s="5">
        <v>21</v>
      </c>
      <c r="F16" s="5">
        <v>11</v>
      </c>
      <c r="G16" s="5">
        <v>1</v>
      </c>
      <c r="H16" s="5">
        <v>1</v>
      </c>
      <c r="I16" s="5">
        <v>1</v>
      </c>
      <c r="J16" s="5">
        <v>57.1</v>
      </c>
      <c r="K16" s="5">
        <v>33.3</v>
      </c>
      <c r="L16" s="5">
        <v>100</v>
      </c>
      <c r="M16" s="5">
        <v>52.4</v>
      </c>
      <c r="N16" s="5">
        <v>4.8</v>
      </c>
      <c r="O16" s="5">
        <v>4.8</v>
      </c>
      <c r="P16" s="5">
        <v>4.8</v>
      </c>
    </row>
    <row r="17" ht="32" customHeight="1">
      <c r="A17" s="4" t="inlineStr">
        <is>
          <t xml:space="preserve">S15</t>
        </is>
      </c>
      <c r="B17" s="5">
        <v>21</v>
      </c>
      <c r="C17" s="4" t="inlineStr">
        <is>
          <t xml:space="preserve">13</t>
        </is>
      </c>
      <c r="D17" s="5">
        <v>7</v>
      </c>
      <c r="E17" s="5">
        <v>21</v>
      </c>
      <c r="F17" s="5">
        <v>11</v>
      </c>
      <c r="G17" s="5">
        <v>1</v>
      </c>
      <c r="H17" s="5">
        <v>1</v>
      </c>
      <c r="I17" s="5">
        <v>1</v>
      </c>
      <c r="J17" s="5">
        <v>61.9</v>
      </c>
      <c r="K17" s="5">
        <v>33.3</v>
      </c>
      <c r="L17" s="5">
        <v>100</v>
      </c>
      <c r="M17" s="5">
        <v>52.4</v>
      </c>
      <c r="N17" s="5">
        <v>4.8</v>
      </c>
      <c r="O17" s="5">
        <v>4.8</v>
      </c>
      <c r="P17" s="5">
        <v>4.8</v>
      </c>
    </row>
    <row r="18" ht="32" customHeight="1">
      <c r="A18" s="4" t="inlineStr">
        <is>
          <t xml:space="preserve">S16</t>
        </is>
      </c>
      <c r="B18" s="5">
        <v>21</v>
      </c>
      <c r="C18" s="4" t="inlineStr">
        <is>
          <t xml:space="preserve">13</t>
        </is>
      </c>
      <c r="D18" s="5">
        <v>7</v>
      </c>
      <c r="E18" s="5">
        <v>21</v>
      </c>
      <c r="F18" s="5">
        <v>11</v>
      </c>
      <c r="G18" s="5">
        <v>1</v>
      </c>
      <c r="H18" s="5">
        <v>1</v>
      </c>
      <c r="I18" s="5">
        <v>1</v>
      </c>
      <c r="J18" s="5">
        <v>61.9</v>
      </c>
      <c r="K18" s="5">
        <v>33.3</v>
      </c>
      <c r="L18" s="5">
        <v>100</v>
      </c>
      <c r="M18" s="5">
        <v>52.4</v>
      </c>
      <c r="N18" s="5">
        <v>4.8</v>
      </c>
      <c r="O18" s="5">
        <v>4.8</v>
      </c>
      <c r="P18" s="5">
        <v>4.8</v>
      </c>
    </row>
    <row r="19" ht="32" customHeight="1">
      <c r="A19" s="4" t="inlineStr">
        <is>
          <t xml:space="preserve">S17</t>
        </is>
      </c>
      <c r="B19" s="5">
        <v>21</v>
      </c>
      <c r="C19" s="4" t="inlineStr">
        <is>
          <t xml:space="preserve">12</t>
        </is>
      </c>
      <c r="D19" s="5">
        <v>6</v>
      </c>
      <c r="E19" s="5">
        <v>21</v>
      </c>
      <c r="F19" s="5">
        <v>10</v>
      </c>
      <c r="G19" s="5">
        <v>1</v>
      </c>
      <c r="H19" s="5">
        <v>1</v>
      </c>
      <c r="I19" s="5">
        <v>1</v>
      </c>
      <c r="J19" s="5">
        <v>57.1</v>
      </c>
      <c r="K19" s="5">
        <v>28.6</v>
      </c>
      <c r="L19" s="5">
        <v>100</v>
      </c>
      <c r="M19" s="5">
        <v>47.6</v>
      </c>
      <c r="N19" s="5">
        <v>4.8</v>
      </c>
      <c r="O19" s="5">
        <v>4.8</v>
      </c>
      <c r="P19" s="5">
        <v>4.8</v>
      </c>
    </row>
    <row r="20" ht="32" customHeight="1">
      <c r="A20" s="4" t="inlineStr">
        <is>
          <t xml:space="preserve">S18</t>
        </is>
      </c>
      <c r="B20" s="5">
        <v>21</v>
      </c>
      <c r="C20" s="4" t="inlineStr">
        <is>
          <t xml:space="preserve">12</t>
        </is>
      </c>
      <c r="D20" s="5">
        <v>6</v>
      </c>
      <c r="E20" s="5">
        <v>21</v>
      </c>
      <c r="F20" s="5">
        <v>10</v>
      </c>
      <c r="G20" s="5">
        <v>1</v>
      </c>
      <c r="H20" s="5">
        <v>1</v>
      </c>
      <c r="I20" s="5">
        <v>1</v>
      </c>
      <c r="J20" s="5">
        <v>57.1</v>
      </c>
      <c r="K20" s="5">
        <v>28.6</v>
      </c>
      <c r="L20" s="5">
        <v>100</v>
      </c>
      <c r="M20" s="5">
        <v>47.6</v>
      </c>
      <c r="N20" s="5">
        <v>4.8</v>
      </c>
      <c r="O20" s="5">
        <v>4.8</v>
      </c>
      <c r="P20" s="5">
        <v>4.8</v>
      </c>
    </row>
    <row r="21" ht="32" customHeight="1">
      <c r="A21" s="4" t="inlineStr">
        <is>
          <t xml:space="preserve">S19</t>
        </is>
      </c>
      <c r="B21" s="5">
        <v>21</v>
      </c>
      <c r="C21" s="4" t="inlineStr">
        <is>
          <t xml:space="preserve">12</t>
        </is>
      </c>
      <c r="D21" s="5">
        <v>6</v>
      </c>
      <c r="E21" s="5">
        <v>21</v>
      </c>
      <c r="F21" s="5">
        <v>10</v>
      </c>
      <c r="G21" s="5">
        <v>1</v>
      </c>
      <c r="H21" s="5">
        <v>1</v>
      </c>
      <c r="I21" s="5">
        <v>1</v>
      </c>
      <c r="J21" s="5">
        <v>57.1</v>
      </c>
      <c r="K21" s="5">
        <v>28.6</v>
      </c>
      <c r="L21" s="5">
        <v>100</v>
      </c>
      <c r="M21" s="5">
        <v>47.6</v>
      </c>
      <c r="N21" s="5">
        <v>4.8</v>
      </c>
      <c r="O21" s="5">
        <v>4.8</v>
      </c>
      <c r="P21" s="5">
        <v>4.8</v>
      </c>
    </row>
    <row r="22" ht="32" customHeight="1">
      <c r="A22" s="4" t="inlineStr">
        <is>
          <t xml:space="preserve">S20</t>
        </is>
      </c>
      <c r="B22" s="5">
        <v>21</v>
      </c>
      <c r="C22" s="4" t="inlineStr">
        <is>
          <t xml:space="preserve">12</t>
        </is>
      </c>
      <c r="D22" s="5">
        <v>7</v>
      </c>
      <c r="E22" s="5">
        <v>21</v>
      </c>
      <c r="F22" s="5">
        <v>10</v>
      </c>
      <c r="G22" s="5">
        <v>1</v>
      </c>
      <c r="H22" s="5">
        <v>1</v>
      </c>
      <c r="I22" s="5">
        <v>1</v>
      </c>
      <c r="J22" s="5">
        <v>57.1</v>
      </c>
      <c r="K22" s="5">
        <v>33.3</v>
      </c>
      <c r="L22" s="5">
        <v>100</v>
      </c>
      <c r="M22" s="5">
        <v>47.6</v>
      </c>
      <c r="N22" s="5">
        <v>4.8</v>
      </c>
      <c r="O22" s="5">
        <v>4.8</v>
      </c>
      <c r="P22" s="5">
        <v>4.8</v>
      </c>
    </row>
    <row r="23" ht="32" customHeight="1">
      <c r="A23" s="4" t="inlineStr">
        <is>
          <t xml:space="preserve">S21</t>
        </is>
      </c>
      <c r="B23" s="5">
        <v>21</v>
      </c>
      <c r="C23" s="4" t="inlineStr">
        <is>
          <t xml:space="preserve">12</t>
        </is>
      </c>
      <c r="D23" s="5">
        <v>7</v>
      </c>
      <c r="E23" s="5">
        <v>21</v>
      </c>
      <c r="F23" s="5">
        <v>10</v>
      </c>
      <c r="G23" s="5">
        <v>1</v>
      </c>
      <c r="H23" s="5">
        <v>1</v>
      </c>
      <c r="I23" s="5">
        <v>1</v>
      </c>
      <c r="J23" s="5">
        <v>57.1</v>
      </c>
      <c r="K23" s="5">
        <v>33.3</v>
      </c>
      <c r="L23" s="5">
        <v>100</v>
      </c>
      <c r="M23" s="5">
        <v>47.6</v>
      </c>
      <c r="N23" s="5">
        <v>4.8</v>
      </c>
      <c r="O23" s="5">
        <v>4.8</v>
      </c>
      <c r="P23" s="5">
        <v>4.8</v>
      </c>
    </row>
    <row r="24" ht="32" customHeight="1">
      <c r="A24" s="4" t="inlineStr">
        <is>
          <t xml:space="preserve">S22</t>
        </is>
      </c>
      <c r="B24" s="5">
        <v>21</v>
      </c>
      <c r="C24" s="4" t="inlineStr">
        <is>
          <t xml:space="preserve">12</t>
        </is>
      </c>
      <c r="D24" s="5">
        <v>6</v>
      </c>
      <c r="E24" s="5">
        <v>21</v>
      </c>
      <c r="F24" s="5">
        <v>10</v>
      </c>
      <c r="G24" s="5">
        <v>1</v>
      </c>
      <c r="H24" s="5">
        <v>1</v>
      </c>
      <c r="I24" s="5">
        <v>1</v>
      </c>
      <c r="J24" s="5">
        <v>57.1</v>
      </c>
      <c r="K24" s="5">
        <v>28.6</v>
      </c>
      <c r="L24" s="5">
        <v>100</v>
      </c>
      <c r="M24" s="5">
        <v>47.6</v>
      </c>
      <c r="N24" s="5">
        <v>4.8</v>
      </c>
      <c r="O24" s="5">
        <v>4.8</v>
      </c>
      <c r="P24" s="5">
        <v>4.8</v>
      </c>
    </row>
    <row r="25" ht="32" customHeight="1">
      <c r="A25" s="4" t="inlineStr">
        <is>
          <t xml:space="preserve">S23</t>
        </is>
      </c>
      <c r="B25" s="5">
        <v>21</v>
      </c>
      <c r="C25" s="4" t="inlineStr">
        <is>
          <t xml:space="preserve">12</t>
        </is>
      </c>
      <c r="D25" s="5">
        <v>7</v>
      </c>
      <c r="E25" s="5">
        <v>21</v>
      </c>
      <c r="F25" s="5">
        <v>10</v>
      </c>
      <c r="G25" s="5">
        <v>1</v>
      </c>
      <c r="H25" s="5">
        <v>1</v>
      </c>
      <c r="I25" s="5">
        <v>1</v>
      </c>
      <c r="J25" s="5">
        <v>57.1</v>
      </c>
      <c r="K25" s="5">
        <v>33.3</v>
      </c>
      <c r="L25" s="5">
        <v>100</v>
      </c>
      <c r="M25" s="5">
        <v>47.6</v>
      </c>
      <c r="N25" s="5">
        <v>4.8</v>
      </c>
      <c r="O25" s="5">
        <v>4.8</v>
      </c>
      <c r="P25" s="5">
        <v>4.8</v>
      </c>
    </row>
    <row r="26" ht="32" customHeight="1">
      <c r="A26" s="4" t="inlineStr">
        <is>
          <t xml:space="preserve">S24</t>
        </is>
      </c>
      <c r="B26" s="5">
        <v>21</v>
      </c>
      <c r="C26" s="4" t="inlineStr">
        <is>
          <t xml:space="preserve">13</t>
        </is>
      </c>
      <c r="D26" s="5">
        <v>6</v>
      </c>
      <c r="E26" s="5">
        <v>21</v>
      </c>
      <c r="F26" s="5">
        <v>10</v>
      </c>
      <c r="G26" s="5">
        <v>1</v>
      </c>
      <c r="H26" s="5">
        <v>1</v>
      </c>
      <c r="I26" s="5">
        <v>0</v>
      </c>
      <c r="J26" s="5">
        <v>61.9</v>
      </c>
      <c r="K26" s="5">
        <v>28.6</v>
      </c>
      <c r="L26" s="5">
        <v>100</v>
      </c>
      <c r="M26" s="5">
        <v>47.6</v>
      </c>
      <c r="N26" s="5">
        <v>4.8</v>
      </c>
      <c r="O26" s="5">
        <v>4.8</v>
      </c>
      <c r="P26" s="5">
        <v>0</v>
      </c>
    </row>
  </sheetData>
  <autoFilter ref="A4:P26"/>
  <mergeCells count="2">
    <mergeCell ref="A1:P1"/>
    <mergeCell ref="A2:P2"/>
  </mergeCells>
  <pageMargins left="0.3" right="0.3" top="0.5" bottom="0.5" header="0.2" footer="0.2"/>
</worksheet>
</file>

<file path=xl/worksheets/sheet15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sheetFormatPr defaultRowHeight="18"/>
  <cols>
    <col min="1" max="1" width="36" customWidth="1"/>
    <col min="2" max="2" width="36" customWidth="1"/>
    <col min="3" max="3" width="16" customWidth="1"/>
    <col min="4" max="4" width="16" customWidth="1"/>
    <col min="5" max="5" width="16" customWidth="1"/>
    <col min="6" max="6" width="36" customWidth="1"/>
    <col min="7" max="7" width="42" customWidth="1"/>
  </cols>
  <sheetData>
    <row r="1" ht="30" customHeight="1">
      <c r="A1" s="1" t="inlineStr">
        <is>
          <t xml:space="preserve">Outcome co-occurrence</t>
        </is>
      </c>
    </row>
    <row r="2" ht="34" customHeight="1">
      <c r="A2" s="2" t="inlineStr">
        <is>
          <t xml:space="preserve">Source: 04_outputs/outcome_cooccurrence.csv. Report-level evidence; source-access limits and analytic roles are retained.</t>
        </is>
      </c>
    </row>
    <row r="4" ht="44" customHeight="1">
      <c r="A4" s="3" t="inlineStr">
        <is>
          <t xml:space="preserve">outcome_a</t>
        </is>
      </c>
      <c r="B4" s="3" t="inlineStr">
        <is>
          <t xml:space="preserve">outcome_b</t>
        </is>
      </c>
      <c r="C4" s="3" t="inlineStr">
        <is>
          <t xml:space="preserve">co_measured_n</t>
        </is>
      </c>
      <c r="D4" s="3" t="inlineStr">
        <is>
          <t xml:space="preserve">denominator</t>
        </is>
      </c>
      <c r="E4" s="3" t="inlineStr">
        <is>
          <t xml:space="preserve">percent</t>
        </is>
      </c>
      <c r="F4" s="3" t="inlineStr">
        <is>
          <t xml:space="preserve">report_ids</t>
        </is>
      </c>
      <c r="G4" s="3" t="inlineStr">
        <is>
          <t xml:space="preserve">interpretation</t>
        </is>
      </c>
    </row>
    <row r="5" ht="34" customHeight="1">
      <c r="A5" s="4" t="inlineStr">
        <is>
          <t xml:space="preserve">user_outcome</t>
        </is>
      </c>
      <c r="B5" s="4" t="inlineStr">
        <is>
          <t xml:space="preserve">clinical_outcome</t>
        </is>
      </c>
      <c r="C5" s="5">
        <v>11</v>
      </c>
      <c r="D5" s="5">
        <v>22</v>
      </c>
      <c r="E5" s="5">
        <v>50</v>
      </c>
      <c r="F5" s="4" t="inlineStr">
        <is>
          <t xml:space="preserve">S03; S09; S12; S17; S18; S19; S20; S21; S22; S23; S24</t>
        </is>
      </c>
      <c r="G5" s="4" t="inlineStr">
        <is>
          <t xml:space="preserve">Co-measurement only; no tested mediation or causal linkage inferred</t>
        </is>
      </c>
    </row>
    <row r="6" ht="34" customHeight="1">
      <c r="A6" s="4" t="inlineStr">
        <is>
          <t xml:space="preserve">user_outcome</t>
        </is>
      </c>
      <c r="B6" s="4" t="inlineStr">
        <is>
          <t xml:space="preserve">safety_focused_investigation</t>
        </is>
      </c>
      <c r="C6" s="5">
        <v>1</v>
      </c>
      <c r="D6" s="5">
        <v>22</v>
      </c>
      <c r="E6" s="5">
        <v>4.5</v>
      </c>
      <c r="F6" s="4" t="inlineStr">
        <is>
          <t xml:space="preserve">S04</t>
        </is>
      </c>
      <c r="G6" s="4" t="inlineStr">
        <is>
          <t xml:space="preserve">Co-measurement only; no tested mediation or causal linkage inferred</t>
        </is>
      </c>
    </row>
    <row r="7" ht="34" customHeight="1">
      <c r="A7" s="4" t="inlineStr">
        <is>
          <t xml:space="preserve">user_outcome</t>
        </is>
      </c>
      <c r="B7" s="4" t="inlineStr">
        <is>
          <t xml:space="preserve">health_system_operations</t>
        </is>
      </c>
      <c r="C7" s="5">
        <v>1</v>
      </c>
      <c r="D7" s="5">
        <v>22</v>
      </c>
      <c r="E7" s="5">
        <v>4.5</v>
      </c>
      <c r="F7" s="4" t="inlineStr">
        <is>
          <t xml:space="preserve">S11</t>
        </is>
      </c>
      <c r="G7" s="4" t="inlineStr">
        <is>
          <t xml:space="preserve">Co-measurement only; no tested mediation or causal linkage inferred</t>
        </is>
      </c>
    </row>
    <row r="8" ht="34" customHeight="1">
      <c r="A8" s="4" t="inlineStr">
        <is>
          <t xml:space="preserve">user_outcome</t>
        </is>
      </c>
      <c r="B8" s="4" t="inlineStr">
        <is>
          <t xml:space="preserve">patient_productivity</t>
        </is>
      </c>
      <c r="C8" s="5">
        <v>1</v>
      </c>
      <c r="D8" s="5">
        <v>22</v>
      </c>
      <c r="E8" s="5">
        <v>4.5</v>
      </c>
      <c r="F8" s="4" t="inlineStr">
        <is>
          <t xml:space="preserve">S24</t>
        </is>
      </c>
      <c r="G8" s="4" t="inlineStr">
        <is>
          <t xml:space="preserve">Co-measurement only; no tested mediation or causal linkage inferred</t>
        </is>
      </c>
    </row>
    <row r="9" ht="34" customHeight="1">
      <c r="A9" s="4" t="inlineStr">
        <is>
          <t xml:space="preserve">clinical_outcome</t>
        </is>
      </c>
      <c r="B9" s="4" t="inlineStr">
        <is>
          <t xml:space="preserve">safety_focused_investigation</t>
        </is>
      </c>
      <c r="C9" s="5">
        <v>0</v>
      </c>
      <c r="D9" s="5">
        <v>22</v>
      </c>
      <c r="E9" s="5">
        <v>0</v>
      </c>
      <c r="F9" s="4" t="inlineStr">
        <is>
          <t xml:space="preserve"/>
        </is>
      </c>
      <c r="G9" s="4" t="inlineStr">
        <is>
          <t xml:space="preserve">Co-measurement only; no tested mediation or causal linkage inferred</t>
        </is>
      </c>
    </row>
    <row r="10" ht="34" customHeight="1">
      <c r="A10" s="4" t="inlineStr">
        <is>
          <t xml:space="preserve">clinical_outcome</t>
        </is>
      </c>
      <c r="B10" s="4" t="inlineStr">
        <is>
          <t xml:space="preserve">health_system_operations</t>
        </is>
      </c>
      <c r="C10" s="5">
        <v>0</v>
      </c>
      <c r="D10" s="5">
        <v>22</v>
      </c>
      <c r="E10" s="5">
        <v>0</v>
      </c>
      <c r="F10" s="4" t="inlineStr">
        <is>
          <t xml:space="preserve"/>
        </is>
      </c>
      <c r="G10" s="4" t="inlineStr">
        <is>
          <t xml:space="preserve">Co-measurement only; no tested mediation or causal linkage inferred</t>
        </is>
      </c>
    </row>
    <row r="11" ht="34" customHeight="1">
      <c r="A11" s="4" t="inlineStr">
        <is>
          <t xml:space="preserve">clinical_outcome</t>
        </is>
      </c>
      <c r="B11" s="4" t="inlineStr">
        <is>
          <t xml:space="preserve">patient_productivity</t>
        </is>
      </c>
      <c r="C11" s="5">
        <v>1</v>
      </c>
      <c r="D11" s="5">
        <v>22</v>
      </c>
      <c r="E11" s="5">
        <v>4.5</v>
      </c>
      <c r="F11" s="4" t="inlineStr">
        <is>
          <t xml:space="preserve">S24</t>
        </is>
      </c>
      <c r="G11" s="4" t="inlineStr">
        <is>
          <t xml:space="preserve">Co-measurement only; no tested mediation or causal linkage inferred</t>
        </is>
      </c>
    </row>
    <row r="12" ht="34" customHeight="1">
      <c r="A12" s="4" t="inlineStr">
        <is>
          <t xml:space="preserve">safety_focused_investigation</t>
        </is>
      </c>
      <c r="B12" s="4" t="inlineStr">
        <is>
          <t xml:space="preserve">health_system_operations</t>
        </is>
      </c>
      <c r="C12" s="5">
        <v>0</v>
      </c>
      <c r="D12" s="5">
        <v>22</v>
      </c>
      <c r="E12" s="5">
        <v>0</v>
      </c>
      <c r="F12" s="4" t="inlineStr">
        <is>
          <t xml:space="preserve"/>
        </is>
      </c>
      <c r="G12" s="4" t="inlineStr">
        <is>
          <t xml:space="preserve">Co-measurement only; no tested mediation or causal linkage inferred</t>
        </is>
      </c>
    </row>
    <row r="13" ht="34" customHeight="1">
      <c r="A13" s="4" t="inlineStr">
        <is>
          <t xml:space="preserve">safety_focused_investigation</t>
        </is>
      </c>
      <c r="B13" s="4" t="inlineStr">
        <is>
          <t xml:space="preserve">patient_productivity</t>
        </is>
      </c>
      <c r="C13" s="5">
        <v>0</v>
      </c>
      <c r="D13" s="5">
        <v>22</v>
      </c>
      <c r="E13" s="5">
        <v>0</v>
      </c>
      <c r="F13" s="4" t="inlineStr">
        <is>
          <t xml:space="preserve"/>
        </is>
      </c>
      <c r="G13" s="4" t="inlineStr">
        <is>
          <t xml:space="preserve">Co-measurement only; no tested mediation or causal linkage inferred</t>
        </is>
      </c>
    </row>
    <row r="14" ht="34" customHeight="1">
      <c r="A14" s="4" t="inlineStr">
        <is>
          <t xml:space="preserve">health_system_operations</t>
        </is>
      </c>
      <c r="B14" s="4" t="inlineStr">
        <is>
          <t xml:space="preserve">patient_productivity</t>
        </is>
      </c>
      <c r="C14" s="5">
        <v>0</v>
      </c>
      <c r="D14" s="5">
        <v>22</v>
      </c>
      <c r="E14" s="5">
        <v>0</v>
      </c>
      <c r="F14" s="4" t="inlineStr">
        <is>
          <t xml:space="preserve"/>
        </is>
      </c>
      <c r="G14" s="4" t="inlineStr">
        <is>
          <t xml:space="preserve">Co-measurement only; no tested mediation or causal linkage inferred</t>
        </is>
      </c>
    </row>
  </sheetData>
  <autoFilter ref="A4:G14"/>
  <mergeCells count="2">
    <mergeCell ref="A1:G1"/>
    <mergeCell ref="A2:G2"/>
  </mergeCells>
  <pageMargins left="0.3" right="0.3" top="0.5" bottom="0.5" header="0.2" footer="0.2"/>
</worksheet>
</file>

<file path=docProps/app.xml><?xml version="1.0" encoding="utf-8"?>
<Properties xmlns="http://schemas.openxmlformats.org/officeDocument/2006/extended-properties">
  <Application>Evidence workbook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From User Experience to Organizational Value: A Critical Integrative Review of Intelligent Chatbots in Healthcare Services</dc:title>
  <dc:subject>Study-level evidence and analytical calculations</dc:subject>
  <dc:creator/>
  <cp:lastModifiedBy/>
  <dcterms:created xsi:type="dcterms:W3CDTF">2026-10-23T00:00:00Z</dcterms:created>
  <dcterms:modified xsi:type="dcterms:W3CDTF">2026-10-23T00:00:00Z</dcterms:modified>
</cp:coreProperties>
</file>